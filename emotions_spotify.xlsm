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/>
  <mc:AlternateContent xmlns:mc="http://schemas.openxmlformats.org/markup-compatibility/2006">
    <mc:Choice Requires="x15">
      <x15ac:absPath xmlns:x15ac="http://schemas.microsoft.com/office/spreadsheetml/2010/11/ac" url="/Users/averykim/Desktop/01Data_Class/"/>
    </mc:Choice>
  </mc:AlternateContent>
  <bookViews>
    <workbookView xWindow="40" yWindow="480" windowWidth="28760" windowHeight="15140" tabRatio="500"/>
  </bookViews>
  <sheets>
    <sheet name="emotions_spotifyv1.csv" sheetId="1" r:id="rId1"/>
  </sheets>
  <definedNames>
    <definedName name="_xlnm._FilterDatabase" localSheetId="0" hidden="1">emotions_spotifyv1.csv!$A$1:$W$1230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34" i="1" l="1"/>
  <c r="T96" i="1"/>
  <c r="T835" i="1"/>
  <c r="T81" i="1"/>
  <c r="T123" i="1"/>
  <c r="T46" i="1"/>
  <c r="T39" i="1"/>
  <c r="T47" i="1"/>
  <c r="T113" i="1"/>
  <c r="T40" i="1"/>
  <c r="T620" i="1"/>
  <c r="T74" i="1"/>
  <c r="T129" i="1"/>
  <c r="T202" i="1"/>
  <c r="T262" i="1"/>
  <c r="T52" i="1"/>
  <c r="T384" i="1"/>
  <c r="T184" i="1"/>
  <c r="T397" i="1"/>
  <c r="T228" i="1"/>
  <c r="T173" i="1"/>
  <c r="T455" i="1"/>
  <c r="T49" i="1"/>
  <c r="T37" i="1"/>
  <c r="T77" i="1"/>
  <c r="T175" i="1"/>
  <c r="T431" i="1"/>
  <c r="T172" i="1"/>
  <c r="T287" i="1"/>
  <c r="T109" i="1"/>
  <c r="T195" i="1"/>
  <c r="T35" i="1"/>
  <c r="T55" i="1"/>
  <c r="T198" i="1"/>
  <c r="T148" i="1"/>
  <c r="T253" i="1"/>
  <c r="T53" i="1"/>
  <c r="T657" i="1"/>
  <c r="T686" i="1"/>
  <c r="T462" i="1"/>
  <c r="T87" i="1"/>
  <c r="T111" i="1"/>
  <c r="T505" i="1"/>
  <c r="T785" i="1"/>
  <c r="T423" i="1"/>
  <c r="T160" i="1"/>
  <c r="T339" i="1"/>
  <c r="T88" i="1"/>
  <c r="T485" i="1"/>
  <c r="T317" i="1"/>
  <c r="T43" i="1"/>
  <c r="T75" i="1"/>
  <c r="T80" i="1"/>
  <c r="T213" i="1"/>
  <c r="T63" i="1"/>
  <c r="T645" i="1"/>
  <c r="T824" i="1"/>
  <c r="T385" i="1"/>
  <c r="T42" i="1"/>
  <c r="T272" i="1"/>
  <c r="T45" i="1"/>
  <c r="T101" i="1"/>
  <c r="T164" i="1"/>
  <c r="T243" i="1"/>
  <c r="T605" i="1"/>
  <c r="T131" i="1"/>
  <c r="T36" i="1"/>
  <c r="T58" i="1"/>
  <c r="T255" i="1"/>
  <c r="T782" i="1"/>
  <c r="T72" i="1"/>
  <c r="T150" i="1"/>
  <c r="T73" i="1"/>
  <c r="T319" i="1"/>
  <c r="T102" i="1"/>
  <c r="T301" i="1"/>
  <c r="T146" i="1"/>
  <c r="T245" i="1"/>
  <c r="T183" i="1"/>
  <c r="T38" i="1"/>
  <c r="T321" i="1"/>
  <c r="T233" i="1"/>
  <c r="T110" i="1"/>
  <c r="T147" i="1"/>
  <c r="T554" i="1"/>
  <c r="T344" i="1"/>
  <c r="T152" i="1"/>
  <c r="T436" i="1"/>
  <c r="T157" i="1"/>
  <c r="T84" i="1"/>
  <c r="T67" i="1"/>
  <c r="T135" i="1"/>
  <c r="T141" i="1"/>
  <c r="T51" i="1"/>
  <c r="T191" i="1"/>
  <c r="T902" i="1"/>
  <c r="T103" i="1"/>
  <c r="T318" i="1"/>
  <c r="T217" i="1"/>
  <c r="T41" i="1"/>
  <c r="T365" i="1"/>
  <c r="T68" i="1"/>
  <c r="T194" i="1"/>
  <c r="T117" i="1"/>
  <c r="T396" i="1"/>
  <c r="T410" i="1"/>
  <c r="T666" i="1"/>
  <c r="T594" i="1"/>
  <c r="T882" i="1"/>
  <c r="T50" i="1"/>
  <c r="T56" i="1"/>
  <c r="T85" i="1"/>
  <c r="T174" i="1"/>
  <c r="T326" i="1"/>
  <c r="T69" i="1"/>
  <c r="T65" i="1"/>
  <c r="T130" i="1"/>
  <c r="T142" i="1"/>
  <c r="T399" i="1"/>
  <c r="T586" i="1"/>
  <c r="T106" i="1"/>
  <c r="T532" i="1"/>
  <c r="T199" i="1"/>
  <c r="T44" i="1"/>
  <c r="T221" i="1"/>
  <c r="T59" i="1"/>
  <c r="T104" i="1"/>
  <c r="T306" i="1"/>
  <c r="T144" i="1"/>
  <c r="T124" i="1"/>
  <c r="T204" i="1"/>
  <c r="T469" i="1"/>
  <c r="T83" i="1"/>
  <c r="T57" i="1"/>
  <c r="T254" i="1"/>
  <c r="T273" i="1"/>
  <c r="T866" i="1"/>
  <c r="T170" i="1"/>
  <c r="T292" i="1"/>
  <c r="T60" i="1"/>
  <c r="T121" i="1"/>
  <c r="T650" i="1"/>
  <c r="T302" i="1"/>
  <c r="T79" i="1"/>
  <c r="T727" i="1"/>
  <c r="T687" i="1"/>
  <c r="T291" i="1"/>
  <c r="T180" i="1"/>
  <c r="T108" i="1"/>
  <c r="T994" i="1"/>
  <c r="T269" i="1"/>
  <c r="T631" i="1"/>
  <c r="T415" i="1"/>
  <c r="T182" i="1"/>
  <c r="T70" i="1"/>
  <c r="T360" i="1"/>
  <c r="T348" i="1"/>
  <c r="T336" i="1"/>
  <c r="T48" i="1"/>
  <c r="T78" i="1"/>
  <c r="T239" i="1"/>
  <c r="T86" i="1"/>
  <c r="T214" i="1"/>
  <c r="T154" i="1"/>
  <c r="T293" i="1"/>
  <c r="T128" i="1"/>
  <c r="T181" i="1"/>
  <c r="T340" i="1"/>
  <c r="T332" i="1"/>
  <c r="T54" i="1"/>
  <c r="T167" i="1"/>
  <c r="T517" i="1"/>
  <c r="T185" i="1"/>
  <c r="T574" i="1"/>
  <c r="T165" i="1"/>
  <c r="T114" i="1"/>
  <c r="T729" i="1"/>
  <c r="T94" i="1"/>
  <c r="T300" i="1"/>
  <c r="T64" i="1"/>
  <c r="T76" i="1"/>
  <c r="T169" i="1"/>
  <c r="T61" i="1"/>
  <c r="T178" i="1"/>
  <c r="T266" i="1"/>
  <c r="T711" i="1"/>
  <c r="T207" i="1"/>
  <c r="T62" i="1"/>
  <c r="T297" i="1"/>
  <c r="T212" i="1"/>
  <c r="T322" i="1"/>
  <c r="T338" i="1"/>
  <c r="T227" i="1"/>
  <c r="T286" i="1"/>
  <c r="T408" i="1"/>
  <c r="T249" i="1"/>
  <c r="T71" i="1"/>
  <c r="T234" i="1"/>
  <c r="T356" i="1"/>
  <c r="T1040" i="1"/>
  <c r="T215" i="1"/>
  <c r="T774" i="1"/>
  <c r="T92" i="1"/>
  <c r="T337" i="1"/>
  <c r="T136" i="1"/>
  <c r="T546" i="1"/>
  <c r="T133" i="1"/>
  <c r="T127" i="1"/>
  <c r="T294" i="1"/>
  <c r="T794" i="1"/>
  <c r="T158" i="1"/>
  <c r="T242" i="1"/>
  <c r="T325" i="1"/>
  <c r="T454" i="1"/>
  <c r="T200" i="1"/>
  <c r="T95" i="1"/>
  <c r="T849" i="1"/>
  <c r="T1110" i="1"/>
  <c r="T90" i="1"/>
  <c r="T115" i="1"/>
  <c r="T120" i="1"/>
  <c r="T122" i="1"/>
  <c r="T140" i="1"/>
  <c r="T310" i="1"/>
  <c r="T715" i="1"/>
  <c r="T206" i="1"/>
  <c r="T845" i="1"/>
  <c r="T118" i="1"/>
  <c r="T258" i="1"/>
  <c r="T471" i="1"/>
  <c r="T230" i="1"/>
  <c r="T107" i="1"/>
  <c r="T82" i="1"/>
  <c r="T116" i="1"/>
  <c r="T510" i="1"/>
  <c r="T781" i="1"/>
  <c r="T534" i="1"/>
  <c r="T664" i="1"/>
  <c r="T392" i="1"/>
  <c r="T810" i="1"/>
  <c r="T187" i="1"/>
  <c r="T299" i="1"/>
  <c r="T153" i="1"/>
  <c r="T240" i="1"/>
  <c r="T707" i="1"/>
  <c r="T91" i="1"/>
  <c r="T145" i="1"/>
  <c r="T97" i="1"/>
  <c r="T246" i="1"/>
  <c r="T66" i="1"/>
  <c r="T597" i="1"/>
  <c r="T126" i="1"/>
  <c r="T303" i="1"/>
  <c r="T663" i="1"/>
  <c r="T1187" i="1"/>
  <c r="T490" i="1"/>
  <c r="T489" i="1"/>
  <c r="T493" i="1"/>
  <c r="T535" i="1"/>
  <c r="T577" i="1"/>
  <c r="T333" i="1"/>
  <c r="T282" i="1"/>
  <c r="T295" i="1"/>
  <c r="T548" i="1"/>
  <c r="T192" i="1"/>
  <c r="T420" i="1"/>
  <c r="T717" i="1"/>
  <c r="T190" i="1"/>
  <c r="T693" i="1"/>
  <c r="T739" i="1"/>
  <c r="T296" i="1"/>
  <c r="T216" i="1"/>
  <c r="T626" i="1"/>
  <c r="T938" i="1"/>
  <c r="T251" i="1"/>
  <c r="T285" i="1"/>
  <c r="T1117" i="1"/>
  <c r="T363" i="1"/>
  <c r="T500" i="1"/>
  <c r="T201" i="1"/>
  <c r="T311" i="1"/>
  <c r="T99" i="1"/>
  <c r="T125" i="1"/>
  <c r="T1083" i="1"/>
  <c r="T100" i="1"/>
  <c r="T330" i="1"/>
  <c r="T400" i="1"/>
  <c r="T156" i="1"/>
  <c r="T235" i="1"/>
  <c r="T815" i="1"/>
  <c r="T193" i="1"/>
  <c r="T263" i="1"/>
  <c r="T232" i="1"/>
  <c r="T268" i="1"/>
  <c r="T186" i="1"/>
  <c r="T342" i="1"/>
  <c r="T685" i="1"/>
  <c r="T270" i="1"/>
  <c r="T616" i="1"/>
  <c r="T723" i="1"/>
  <c r="T226" i="1"/>
  <c r="T537" i="1"/>
  <c r="T1107" i="1"/>
  <c r="T98" i="1"/>
  <c r="T362" i="1"/>
  <c r="T694" i="1"/>
  <c r="T429" i="1"/>
  <c r="T149" i="1"/>
  <c r="T324" i="1"/>
  <c r="T105" i="1"/>
  <c r="T367" i="1"/>
  <c r="T525" i="1"/>
  <c r="T561" i="1"/>
  <c r="T112" i="1"/>
  <c r="T764" i="1"/>
  <c r="T151" i="1"/>
  <c r="T281" i="1"/>
  <c r="T474" i="1"/>
  <c r="T211" i="1"/>
  <c r="T93" i="1"/>
  <c r="T323" i="1"/>
  <c r="T800" i="1"/>
  <c r="T275" i="1"/>
  <c r="T171" i="1"/>
  <c r="T378" i="1"/>
  <c r="T331" i="1"/>
  <c r="T827" i="1"/>
  <c r="T649" i="1"/>
  <c r="T222" i="1"/>
  <c r="T159" i="1"/>
  <c r="T407" i="1"/>
  <c r="T162" i="1"/>
  <c r="T188" i="1"/>
  <c r="T209" i="1"/>
  <c r="T1022" i="1"/>
  <c r="T168" i="1"/>
  <c r="T568" i="1"/>
  <c r="T89" i="1"/>
  <c r="T439" i="1"/>
  <c r="T461" i="1"/>
  <c r="T137" i="1"/>
  <c r="T786" i="1"/>
  <c r="T252" i="1"/>
  <c r="T862" i="1"/>
  <c r="T223" i="1"/>
  <c r="T372" i="1"/>
  <c r="T139" i="1"/>
  <c r="T220" i="1"/>
  <c r="T231" i="1"/>
  <c r="T515" i="1"/>
  <c r="T587" i="1"/>
  <c r="T309" i="1"/>
  <c r="T257" i="1"/>
  <c r="T671" i="1"/>
  <c r="T763" i="1"/>
  <c r="T208" i="1"/>
  <c r="T312" i="1"/>
  <c r="T267" i="1"/>
  <c r="T582" i="1"/>
  <c r="T961" i="1"/>
  <c r="T119" i="1"/>
  <c r="T189" i="1"/>
  <c r="T621" i="1"/>
  <c r="T354" i="1"/>
  <c r="T361" i="1"/>
  <c r="T328" i="1"/>
  <c r="T496" i="1"/>
  <c r="T507" i="1"/>
  <c r="T278" i="1"/>
  <c r="T386" i="1"/>
  <c r="T698" i="1"/>
  <c r="T389" i="1"/>
  <c r="T229" i="1"/>
  <c r="T298" i="1"/>
  <c r="T424" i="1"/>
  <c r="T793" i="1"/>
  <c r="T588" i="1"/>
  <c r="T504" i="1"/>
  <c r="T757" i="1"/>
  <c r="T138" i="1"/>
  <c r="T465" i="1"/>
  <c r="T720" i="1"/>
  <c r="T250" i="1"/>
  <c r="T155" i="1"/>
  <c r="T197" i="1"/>
  <c r="T218" i="1"/>
  <c r="T639" i="1"/>
  <c r="T163" i="1"/>
  <c r="T404" i="1"/>
  <c r="T646" i="1"/>
  <c r="T143" i="1"/>
  <c r="T595" i="1"/>
  <c r="T971" i="1"/>
  <c r="T134" i="1"/>
  <c r="T738" i="1"/>
  <c r="T335" i="1"/>
  <c r="T358" i="1"/>
  <c r="T370" i="1"/>
  <c r="T885" i="1"/>
  <c r="T865" i="1"/>
  <c r="T210" i="1"/>
  <c r="T470" i="1"/>
  <c r="T683" i="1"/>
  <c r="T161" i="1"/>
  <c r="T673" i="1"/>
  <c r="T341" i="1"/>
  <c r="T366" i="1"/>
  <c r="T956" i="1"/>
  <c r="T578" i="1"/>
  <c r="T637" i="1"/>
  <c r="T320" i="1"/>
  <c r="T502" i="1"/>
  <c r="T472" i="1"/>
  <c r="T466" i="1"/>
  <c r="T393" i="1"/>
  <c r="T706" i="1"/>
  <c r="T179" i="1"/>
  <c r="T388" i="1"/>
  <c r="T205" i="1"/>
  <c r="T349" i="1"/>
  <c r="T638" i="1"/>
  <c r="T830" i="1"/>
  <c r="T166" i="1"/>
  <c r="T132" i="1"/>
  <c r="T611" i="1"/>
  <c r="T658" i="1"/>
  <c r="T467" i="1"/>
  <c r="T459" i="1"/>
  <c r="T177" i="1"/>
  <c r="T203" i="1"/>
  <c r="T536" i="1"/>
  <c r="T919" i="1"/>
  <c r="T724" i="1"/>
  <c r="T614" i="1"/>
  <c r="T552" i="1"/>
  <c r="T428" i="1"/>
  <c r="T516" i="1"/>
  <c r="T765" i="1"/>
  <c r="T758" i="1"/>
  <c r="T486" i="1"/>
  <c r="T345" i="1"/>
  <c r="T1064" i="1"/>
  <c r="T742" i="1"/>
  <c r="T434" i="1"/>
  <c r="T648" i="1"/>
  <c r="T600" i="1"/>
  <c r="T346" i="1"/>
  <c r="T421" i="1"/>
  <c r="T945" i="1"/>
  <c r="T248" i="1"/>
  <c r="T448" i="1"/>
  <c r="T787" i="1"/>
  <c r="T520" i="1"/>
  <c r="T176" i="1"/>
  <c r="T379" i="1"/>
  <c r="T475" i="1"/>
  <c r="T442" i="1"/>
  <c r="T224" i="1"/>
  <c r="T256" i="1"/>
  <c r="T580" i="1"/>
  <c r="T838" i="1"/>
  <c r="T962" i="1"/>
  <c r="T541" i="1"/>
  <c r="T796" i="1"/>
  <c r="T622" i="1"/>
  <c r="T479" i="1"/>
  <c r="T674" i="1"/>
  <c r="T669" i="1"/>
  <c r="T1095" i="1"/>
  <c r="T241" i="1"/>
  <c r="T850" i="1"/>
  <c r="T941" i="1"/>
  <c r="T756" i="1"/>
  <c r="T427" i="1"/>
  <c r="T494" i="1"/>
  <c r="T575" i="1"/>
  <c r="T274" i="1"/>
  <c r="T432" i="1"/>
  <c r="T701" i="1"/>
  <c r="T783" i="1"/>
  <c r="T334" i="1"/>
  <c r="T982" i="1"/>
  <c r="T219" i="1"/>
  <c r="T612" i="1"/>
  <c r="T350" i="1"/>
  <c r="T789" i="1"/>
  <c r="T276" i="1"/>
  <c r="T305" i="1"/>
  <c r="T355" i="1"/>
  <c r="T259" i="1"/>
  <c r="T430" i="1"/>
  <c r="T775" i="1"/>
  <c r="T1148" i="1"/>
  <c r="T236" i="1"/>
  <c r="T237" i="1"/>
  <c r="T609" i="1"/>
  <c r="T347" i="1"/>
  <c r="T1068" i="1"/>
  <c r="T766" i="1"/>
  <c r="T623" i="1"/>
  <c r="T1140" i="1"/>
  <c r="T433" i="1"/>
  <c r="T497" i="1"/>
  <c r="T440" i="1"/>
  <c r="T569" i="1"/>
  <c r="T495" i="1"/>
  <c r="T277" i="1"/>
  <c r="T624" i="1"/>
  <c r="T288" i="1"/>
  <c r="T659" i="1"/>
  <c r="T784" i="1"/>
  <c r="T264" i="1"/>
  <c r="T375" i="1"/>
  <c r="T271" i="1"/>
  <c r="T1047" i="1"/>
  <c r="T196" i="1"/>
  <c r="T247" i="1"/>
  <c r="T414" i="1"/>
  <c r="T636" i="1"/>
  <c r="T225" i="1"/>
  <c r="T307" i="1"/>
  <c r="T441" i="1"/>
  <c r="T897" i="1"/>
  <c r="T329" i="1"/>
  <c r="T443" i="1"/>
  <c r="T498" i="1"/>
  <c r="T483" i="1"/>
  <c r="T422" i="1"/>
  <c r="T978" i="1"/>
  <c r="T501" i="1"/>
  <c r="T647" i="1"/>
  <c r="T260" i="1"/>
  <c r="T590" i="1"/>
  <c r="T526" i="1"/>
  <c r="T606" i="1"/>
  <c r="T412" i="1"/>
  <c r="T591" i="1"/>
  <c r="T989" i="1"/>
  <c r="T880" i="1"/>
  <c r="T843" i="1"/>
  <c r="T279" i="1"/>
  <c r="T351" i="1"/>
  <c r="T343" i="1"/>
  <c r="T817" i="1"/>
  <c r="T289" i="1"/>
  <c r="T524" i="1"/>
  <c r="T280" i="1"/>
  <c r="T589" i="1"/>
  <c r="T570" i="1"/>
  <c r="T628" i="1"/>
  <c r="T954" i="1"/>
  <c r="T825" i="1"/>
  <c r="T327" i="1"/>
  <c r="T540" i="1"/>
  <c r="T244" i="1"/>
  <c r="T503" i="1"/>
  <c r="T895" i="1"/>
  <c r="T1181" i="1"/>
  <c r="T369" i="1"/>
  <c r="T733" i="1"/>
  <c r="T730" i="1"/>
  <c r="T261" i="1"/>
  <c r="T1158" i="1"/>
  <c r="T313" i="1"/>
  <c r="T376" i="1"/>
  <c r="T818" i="1"/>
  <c r="T283" i="1"/>
  <c r="T238" i="1"/>
  <c r="T290" i="1"/>
  <c r="T531" i="1"/>
  <c r="T444" i="1"/>
  <c r="T435" i="1"/>
  <c r="T790" i="1"/>
  <c r="T373" i="1"/>
  <c r="T803" i="1"/>
  <c r="T419" i="1"/>
  <c r="T795" i="1"/>
  <c r="T963" i="1"/>
  <c r="T799" i="1"/>
  <c r="T823" i="1"/>
  <c r="T643" i="1"/>
  <c r="T746" i="1"/>
  <c r="T381" i="1"/>
  <c r="T1042" i="1"/>
  <c r="T445" i="1"/>
  <c r="T398" i="1"/>
  <c r="T533" i="1"/>
  <c r="T681" i="1"/>
  <c r="T770" i="1"/>
  <c r="T987" i="1"/>
  <c r="T528" i="1"/>
  <c r="T905" i="1"/>
  <c r="T736" i="1"/>
  <c r="T836" i="1"/>
  <c r="T1009" i="1"/>
  <c r="T680" i="1"/>
  <c r="T898" i="1"/>
  <c r="T881" i="1"/>
  <c r="T473" i="1"/>
  <c r="T889" i="1"/>
  <c r="T1061" i="1"/>
  <c r="T265" i="1"/>
  <c r="T402" i="1"/>
  <c r="T1076" i="1"/>
  <c r="T688" i="1"/>
  <c r="T853" i="1"/>
  <c r="T308" i="1"/>
  <c r="T1128" i="1"/>
  <c r="T387" i="1"/>
  <c r="T656" i="1"/>
  <c r="T740" i="1"/>
  <c r="T872" i="1"/>
  <c r="T314" i="1"/>
  <c r="T352" i="1"/>
  <c r="T718" i="1"/>
  <c r="T950" i="1"/>
  <c r="T416" i="1"/>
  <c r="T480" i="1"/>
  <c r="T927" i="1"/>
  <c r="T875" i="1"/>
  <c r="T1054" i="1"/>
  <c r="T417" i="1"/>
  <c r="T567" i="1"/>
  <c r="T1046" i="1"/>
  <c r="T446" i="1"/>
  <c r="T755" i="1"/>
  <c r="T955" i="1"/>
  <c r="T1062" i="1"/>
  <c r="T284" i="1"/>
  <c r="T390" i="1"/>
  <c r="T584" i="1"/>
  <c r="T771" i="1"/>
  <c r="T371" i="1"/>
  <c r="T449" i="1"/>
  <c r="T654" i="1"/>
  <c r="T437" i="1"/>
  <c r="T557" i="1"/>
  <c r="T451" i="1"/>
  <c r="T359" i="1"/>
  <c r="T678" i="1"/>
  <c r="T912" i="1"/>
  <c r="T837" i="1"/>
  <c r="T481" i="1"/>
  <c r="T406" i="1"/>
  <c r="T558" i="1"/>
  <c r="T1079" i="1"/>
  <c r="T682" i="1"/>
  <c r="T708" i="1"/>
  <c r="T776" i="1"/>
  <c r="T1023" i="1"/>
  <c r="T425" i="1"/>
  <c r="T562" i="1"/>
  <c r="T935" i="1"/>
  <c r="T801" i="1"/>
  <c r="T353" i="1"/>
  <c r="T618" i="1"/>
  <c r="T747" i="1"/>
  <c r="T315" i="1"/>
  <c r="T615" i="1"/>
  <c r="T821" i="1"/>
  <c r="T438" i="1"/>
  <c r="T380" i="1"/>
  <c r="T929" i="1"/>
  <c r="T382" i="1"/>
  <c r="T709" i="1"/>
  <c r="T750" i="1"/>
  <c r="T602" i="1"/>
  <c r="T304" i="1"/>
  <c r="T712" i="1"/>
  <c r="T640" i="1"/>
  <c r="T593" i="1"/>
  <c r="T316" i="1"/>
  <c r="T457" i="1"/>
  <c r="T458" i="1"/>
  <c r="T670" i="1"/>
  <c r="T476" i="1"/>
  <c r="T828" i="1"/>
  <c r="T942" i="1"/>
  <c r="T1038" i="1"/>
  <c r="T539" i="1"/>
  <c r="T603" i="1"/>
  <c r="T762" i="1"/>
  <c r="T571" i="1"/>
  <c r="T583" i="1"/>
  <c r="T1027" i="1"/>
  <c r="T411" i="1"/>
  <c r="T468" i="1"/>
  <c r="T1206" i="1"/>
  <c r="T592" i="1"/>
  <c r="T508" i="1"/>
  <c r="T1052" i="1"/>
  <c r="T946" i="1"/>
  <c r="T565" i="1"/>
  <c r="T403" i="1"/>
  <c r="T914" i="1"/>
  <c r="T934" i="1"/>
  <c r="T851" i="1"/>
  <c r="T542" i="1"/>
  <c r="T741" i="1"/>
  <c r="T405" i="1"/>
  <c r="T391" i="1"/>
  <c r="T450" i="1"/>
  <c r="T452" i="1"/>
  <c r="T477" i="1"/>
  <c r="T633" i="1"/>
  <c r="T696" i="1"/>
  <c r="T549" i="1"/>
  <c r="T975" i="1"/>
  <c r="T357" i="1"/>
  <c r="T547" i="1"/>
  <c r="T641" i="1"/>
  <c r="T364" i="1"/>
  <c r="T394" i="1"/>
  <c r="T484" i="1"/>
  <c r="T610" i="1"/>
  <c r="T374" i="1"/>
  <c r="T512" i="1"/>
  <c r="T878" i="1"/>
  <c r="T1146" i="1"/>
  <c r="T1229" i="1"/>
  <c r="T1103" i="1"/>
  <c r="T401" i="1"/>
  <c r="T543" i="1"/>
  <c r="T418" i="1"/>
  <c r="T491" i="1"/>
  <c r="T492" i="1"/>
  <c r="T965" i="1"/>
  <c r="T456" i="1"/>
  <c r="T702" i="1"/>
  <c r="T861" i="1"/>
  <c r="T383" i="1"/>
  <c r="T879" i="1"/>
  <c r="T487" i="1"/>
  <c r="T607" i="1"/>
  <c r="T972" i="1"/>
  <c r="T1044" i="1"/>
  <c r="T791" i="1"/>
  <c r="T478" i="1"/>
  <c r="T737" i="1"/>
  <c r="T1141" i="1"/>
  <c r="T1089" i="1"/>
  <c r="T667" i="1"/>
  <c r="T629" i="1"/>
  <c r="T844" i="1"/>
  <c r="T913" i="1"/>
  <c r="T395" i="1"/>
  <c r="T581" i="1"/>
  <c r="T924" i="1"/>
  <c r="T368" i="1"/>
  <c r="T745" i="1"/>
  <c r="T697" i="1"/>
  <c r="T772" i="1"/>
  <c r="T925" i="1"/>
  <c r="T888" i="1"/>
  <c r="T1143" i="1"/>
  <c r="T699" i="1"/>
  <c r="T883" i="1"/>
  <c r="T576" i="1"/>
  <c r="T1202" i="1"/>
  <c r="T695" i="1"/>
  <c r="T858" i="1"/>
  <c r="T1090" i="1"/>
  <c r="T703" i="1"/>
  <c r="T1010" i="1"/>
  <c r="T1166" i="1"/>
  <c r="T797" i="1"/>
  <c r="T572" i="1"/>
  <c r="T811" i="1"/>
  <c r="T1024" i="1"/>
  <c r="T652" i="1"/>
  <c r="T625" i="1"/>
  <c r="T833" i="1"/>
  <c r="T1012" i="1"/>
  <c r="T511" i="1"/>
  <c r="T447" i="1"/>
  <c r="T530" i="1"/>
  <c r="T463" i="1"/>
  <c r="T521" i="1"/>
  <c r="T544" i="1"/>
  <c r="T1220" i="1"/>
  <c r="T464" i="1"/>
  <c r="T522" i="1"/>
  <c r="T596" i="1"/>
  <c r="T655" i="1"/>
  <c r="T802" i="1"/>
  <c r="T545" i="1"/>
  <c r="T1016" i="1"/>
  <c r="T413" i="1"/>
  <c r="T877" i="1"/>
  <c r="T1162" i="1"/>
  <c r="T460" i="1"/>
  <c r="T426" i="1"/>
  <c r="T617" i="1"/>
  <c r="T519" i="1"/>
  <c r="T792" i="1"/>
  <c r="T377" i="1"/>
  <c r="T453" i="1"/>
  <c r="T1030" i="1"/>
  <c r="T677" i="1"/>
  <c r="T943" i="1"/>
  <c r="T513" i="1"/>
  <c r="T966" i="1"/>
  <c r="T482" i="1"/>
  <c r="T808" i="1"/>
  <c r="T812" i="1"/>
  <c r="T653" i="1"/>
  <c r="T604" i="1"/>
  <c r="T551" i="1"/>
  <c r="T1020" i="1"/>
  <c r="T529" i="1"/>
  <c r="T944" i="1"/>
  <c r="T860" i="1"/>
  <c r="T713" i="1"/>
  <c r="T627" i="1"/>
  <c r="T890" i="1"/>
  <c r="T1123" i="1"/>
  <c r="T506" i="1"/>
  <c r="T951" i="1"/>
  <c r="T1008" i="1"/>
  <c r="T684" i="1"/>
  <c r="T899" i="1"/>
  <c r="T716" i="1"/>
  <c r="T779" i="1"/>
  <c r="T608" i="1"/>
  <c r="T499" i="1"/>
  <c r="T749" i="1"/>
  <c r="T1048" i="1"/>
  <c r="T566" i="1"/>
  <c r="T601" i="1"/>
  <c r="T957" i="1"/>
  <c r="T807" i="1"/>
  <c r="T514" i="1"/>
  <c r="T661" i="1"/>
  <c r="T939" i="1"/>
  <c r="T1198" i="1"/>
  <c r="T559" i="1"/>
  <c r="T509" i="1"/>
  <c r="T873" i="1"/>
  <c r="T550" i="1"/>
  <c r="T619" i="1"/>
  <c r="T759" i="1"/>
  <c r="T1159" i="1"/>
  <c r="T1201" i="1"/>
  <c r="T704" i="1"/>
  <c r="T518" i="1"/>
  <c r="T714" i="1"/>
  <c r="T734" i="1"/>
  <c r="T1069" i="1"/>
  <c r="T964" i="1"/>
  <c r="T1124" i="1"/>
  <c r="T1184" i="1"/>
  <c r="T1215" i="1"/>
  <c r="T804" i="1"/>
  <c r="T940" i="1"/>
  <c r="T488" i="1"/>
  <c r="T767" i="1"/>
  <c r="T753" i="1"/>
  <c r="T744" i="1"/>
  <c r="T863" i="1"/>
  <c r="T931" i="1"/>
  <c r="T553" i="1"/>
  <c r="T847" i="1"/>
  <c r="T932" i="1"/>
  <c r="T1018" i="1"/>
  <c r="T523" i="1"/>
  <c r="T728" i="1"/>
  <c r="T660" i="1"/>
  <c r="T1066" i="1"/>
  <c r="T721" i="1"/>
  <c r="T805" i="1"/>
  <c r="T1102" i="1"/>
  <c r="T556" i="1"/>
  <c r="T668" i="1"/>
  <c r="T527" i="1"/>
  <c r="T644" i="1"/>
  <c r="T976" i="1"/>
  <c r="T1067" i="1"/>
  <c r="T579" i="1"/>
  <c r="T585" i="1"/>
  <c r="T662" i="1"/>
  <c r="T632" i="1"/>
  <c r="T642" i="1"/>
  <c r="T760" i="1"/>
  <c r="T967" i="1"/>
  <c r="T979" i="1"/>
  <c r="T1025" i="1"/>
  <c r="T1011" i="1"/>
  <c r="T691" i="1"/>
  <c r="T731" i="1"/>
  <c r="T563" i="1"/>
  <c r="T700" i="1"/>
  <c r="T743" i="1"/>
  <c r="T1207" i="1"/>
  <c r="T560" i="1"/>
  <c r="T840" i="1"/>
  <c r="T896" i="1"/>
  <c r="T538" i="1"/>
  <c r="T798" i="1"/>
  <c r="T598" i="1"/>
  <c r="T705" i="1"/>
  <c r="T857" i="1"/>
  <c r="T1142" i="1"/>
  <c r="T1072" i="1"/>
  <c r="T947" i="1"/>
  <c r="T868" i="1"/>
  <c r="T748" i="1"/>
  <c r="T1063" i="1"/>
  <c r="T1188" i="1"/>
  <c r="T1017" i="1"/>
  <c r="T1049" i="1"/>
  <c r="T732" i="1"/>
  <c r="T1100" i="1"/>
  <c r="T722" i="1"/>
  <c r="T819" i="1"/>
  <c r="T1039" i="1"/>
  <c r="T1186" i="1"/>
  <c r="T599" i="1"/>
  <c r="T1070" i="1"/>
  <c r="T613" i="1"/>
  <c r="T634" i="1"/>
  <c r="T816" i="1"/>
  <c r="T846" i="1"/>
  <c r="T1059" i="1"/>
  <c r="T690" i="1"/>
  <c r="T635" i="1"/>
  <c r="T651" i="1"/>
  <c r="T679" i="1"/>
  <c r="T867" i="1"/>
  <c r="T1101" i="1"/>
  <c r="T1091" i="1"/>
  <c r="T864" i="1"/>
  <c r="T907" i="1"/>
  <c r="T908" i="1"/>
  <c r="T1145" i="1"/>
  <c r="T997" i="1"/>
  <c r="T676" i="1"/>
  <c r="T768" i="1"/>
  <c r="T906" i="1"/>
  <c r="T1013" i="1"/>
  <c r="T773" i="1"/>
  <c r="T761" i="1"/>
  <c r="T564" i="1"/>
  <c r="T1133" i="1"/>
  <c r="T1138" i="1"/>
  <c r="T555" i="1"/>
  <c r="T841" i="1"/>
  <c r="T1041" i="1"/>
  <c r="T869" i="1"/>
  <c r="T870" i="1"/>
  <c r="T909" i="1"/>
  <c r="T1097" i="1"/>
  <c r="T884" i="1"/>
  <c r="T1135" i="1"/>
  <c r="T692" i="1"/>
  <c r="T806" i="1"/>
  <c r="T751" i="1"/>
  <c r="T1129" i="1"/>
  <c r="T891" i="1"/>
  <c r="T754" i="1"/>
  <c r="T788" i="1"/>
  <c r="T1000" i="1"/>
  <c r="T777" i="1"/>
  <c r="T1203" i="1"/>
  <c r="T926" i="1"/>
  <c r="T1134" i="1"/>
  <c r="T675" i="1"/>
  <c r="T1137" i="1"/>
  <c r="T1185" i="1"/>
  <c r="T859" i="1"/>
  <c r="T573" i="1"/>
  <c r="T735" i="1"/>
  <c r="T780" i="1"/>
  <c r="T1150" i="1"/>
  <c r="T726" i="1"/>
  <c r="T900" i="1"/>
  <c r="T1226" i="1"/>
  <c r="T983" i="1"/>
  <c r="T1173" i="1"/>
  <c r="T1051" i="1"/>
  <c r="T1194" i="1"/>
  <c r="T936" i="1"/>
  <c r="T1032" i="1"/>
  <c r="T1155" i="1"/>
  <c r="T1163" i="1"/>
  <c r="T630" i="1"/>
  <c r="T813" i="1"/>
  <c r="T886" i="1"/>
  <c r="T1005" i="1"/>
  <c r="T1190" i="1"/>
  <c r="T689" i="1"/>
  <c r="T1112" i="1"/>
  <c r="T665" i="1"/>
  <c r="T1130" i="1"/>
  <c r="T839" i="1"/>
  <c r="T719" i="1"/>
  <c r="T998" i="1"/>
  <c r="T1204" i="1"/>
  <c r="T968" i="1"/>
  <c r="T1033" i="1"/>
  <c r="T1057" i="1"/>
  <c r="T1087" i="1"/>
  <c r="T672" i="1"/>
  <c r="T911" i="1"/>
  <c r="T1053" i="1"/>
  <c r="T1094" i="1"/>
  <c r="T1086" i="1"/>
  <c r="T829" i="1"/>
  <c r="T1212" i="1"/>
  <c r="T923" i="1"/>
  <c r="T1118" i="1"/>
  <c r="T725" i="1"/>
  <c r="T1227" i="1"/>
  <c r="T809" i="1"/>
  <c r="T937" i="1"/>
  <c r="T1127" i="1"/>
  <c r="T1178" i="1"/>
  <c r="T1043" i="1"/>
  <c r="T1073" i="1"/>
  <c r="T1219" i="1"/>
  <c r="T1169" i="1"/>
  <c r="T999" i="1"/>
  <c r="T1029" i="1"/>
  <c r="T1096" i="1"/>
  <c r="T1210" i="1"/>
  <c r="T995" i="1"/>
  <c r="T996" i="1"/>
  <c r="T854" i="1"/>
  <c r="T1015" i="1"/>
  <c r="T1081" i="1"/>
  <c r="T1218" i="1"/>
  <c r="T814" i="1"/>
  <c r="T1119" i="1"/>
  <c r="T1179" i="1"/>
  <c r="T1205" i="1"/>
  <c r="T710" i="1"/>
  <c r="T855" i="1"/>
  <c r="T1105" i="1"/>
  <c r="T985" i="1"/>
  <c r="T1189" i="1"/>
  <c r="T1114" i="1"/>
  <c r="T1176" i="1"/>
  <c r="T1002" i="1"/>
  <c r="T1120" i="1"/>
  <c r="T752" i="1"/>
  <c r="T958" i="1"/>
  <c r="T1071" i="1"/>
  <c r="T1113" i="1"/>
  <c r="T917" i="1"/>
  <c r="T969" i="1"/>
  <c r="T820" i="1"/>
  <c r="T1172" i="1"/>
  <c r="T769" i="1"/>
  <c r="T832" i="1"/>
  <c r="T1131" i="1"/>
  <c r="T1122" i="1"/>
  <c r="T984" i="1"/>
  <c r="T1006" i="1"/>
  <c r="T848" i="1"/>
  <c r="T876" i="1"/>
  <c r="T903" i="1"/>
  <c r="T904" i="1"/>
  <c r="T1004" i="1"/>
  <c r="T901" i="1"/>
  <c r="T892" i="1"/>
  <c r="T915" i="1"/>
  <c r="T1031" i="1"/>
  <c r="T831" i="1"/>
  <c r="T953" i="1"/>
  <c r="T1177" i="1"/>
  <c r="T1160" i="1"/>
  <c r="T921" i="1"/>
  <c r="T826" i="1"/>
  <c r="T910" i="1"/>
  <c r="T980" i="1"/>
  <c r="T1199" i="1"/>
  <c r="T1037" i="1"/>
  <c r="T981" i="1"/>
  <c r="T1161" i="1"/>
  <c r="T1026" i="1"/>
  <c r="T1121" i="1"/>
  <c r="T949" i="1"/>
  <c r="T1088" i="1"/>
  <c r="T822" i="1"/>
  <c r="T1132" i="1"/>
  <c r="T1156" i="1"/>
  <c r="T1092" i="1"/>
  <c r="T1151" i="1"/>
  <c r="T1221" i="1"/>
  <c r="T778" i="1"/>
  <c r="T1211" i="1"/>
  <c r="T1167" i="1"/>
  <c r="T1195" i="1"/>
  <c r="T1217" i="1"/>
  <c r="T1154" i="1"/>
  <c r="T990" i="1"/>
  <c r="T1093" i="1"/>
  <c r="T856" i="1"/>
  <c r="T970" i="1"/>
  <c r="T1014" i="1"/>
  <c r="T1115" i="1"/>
  <c r="T1034" i="1"/>
  <c r="T874" i="1"/>
  <c r="T852" i="1"/>
  <c r="T918" i="1"/>
  <c r="T977" i="1"/>
  <c r="T1170" i="1"/>
  <c r="T920" i="1"/>
  <c r="T1104" i="1"/>
  <c r="T991" i="1"/>
  <c r="T1111" i="1"/>
  <c r="T1144" i="1"/>
  <c r="T1196" i="1"/>
  <c r="T1230" i="1"/>
  <c r="T959" i="1"/>
  <c r="T1045" i="1"/>
  <c r="T1125" i="1"/>
  <c r="T1058" i="1"/>
  <c r="T1082" i="1"/>
  <c r="T1164" i="1"/>
  <c r="T1147" i="1"/>
  <c r="T1157" i="1"/>
  <c r="T1209" i="1"/>
  <c r="T871" i="1"/>
  <c r="T960" i="1"/>
  <c r="T992" i="1"/>
  <c r="T1075" i="1"/>
  <c r="T1139" i="1"/>
  <c r="T1171" i="1"/>
  <c r="T973" i="1"/>
  <c r="T1182" i="1"/>
  <c r="T894" i="1"/>
  <c r="T1098" i="1"/>
  <c r="T1168" i="1"/>
  <c r="T842" i="1"/>
  <c r="T1056" i="1"/>
  <c r="T928" i="1"/>
  <c r="T887" i="1"/>
  <c r="T1136" i="1"/>
  <c r="T1153" i="1"/>
  <c r="T1003" i="1"/>
  <c r="T1001" i="1"/>
  <c r="T834" i="1"/>
  <c r="T1084" i="1"/>
  <c r="T1055" i="1"/>
  <c r="T986" i="1"/>
  <c r="T1149" i="1"/>
  <c r="T952" i="1"/>
  <c r="T1035" i="1"/>
  <c r="T1085" i="1"/>
  <c r="T948" i="1"/>
  <c r="T1216" i="1"/>
  <c r="T1019" i="1"/>
  <c r="T1193" i="1"/>
  <c r="T1060" i="1"/>
  <c r="T1109" i="1"/>
  <c r="T1191" i="1"/>
  <c r="T1214" i="1"/>
  <c r="T922" i="1"/>
  <c r="T1078" i="1"/>
  <c r="T930" i="1"/>
  <c r="T1074" i="1"/>
  <c r="T1021" i="1"/>
  <c r="T1228" i="1"/>
  <c r="T1126" i="1"/>
  <c r="T1080" i="1"/>
  <c r="T1180" i="1"/>
  <c r="T1007" i="1"/>
  <c r="T1108" i="1"/>
  <c r="T1222" i="1"/>
  <c r="T1213" i="1"/>
  <c r="T1116" i="1"/>
  <c r="T893" i="1"/>
  <c r="T1192" i="1"/>
  <c r="T1208" i="1"/>
  <c r="T1028" i="1"/>
  <c r="T916" i="1"/>
  <c r="T1197" i="1"/>
  <c r="T1175" i="1"/>
  <c r="T974" i="1"/>
  <c r="T1077" i="1"/>
  <c r="T1065" i="1"/>
  <c r="T1106" i="1"/>
  <c r="T1174" i="1"/>
  <c r="T1183" i="1"/>
  <c r="T1036" i="1"/>
  <c r="T1200" i="1"/>
  <c r="T933" i="1"/>
  <c r="T1050" i="1"/>
  <c r="T1165" i="1"/>
  <c r="T988" i="1"/>
  <c r="T1223" i="1"/>
  <c r="T993" i="1"/>
  <c r="T1152" i="1"/>
  <c r="T1225" i="1"/>
  <c r="T1224" i="1"/>
  <c r="T1099" i="1"/>
  <c r="T409" i="1"/>
  <c r="U1223" i="1"/>
  <c r="U1225" i="1"/>
  <c r="U1224" i="1"/>
  <c r="U1228" i="1"/>
  <c r="U1230" i="1"/>
  <c r="U1214" i="1"/>
  <c r="U1213" i="1"/>
  <c r="U1221" i="1"/>
  <c r="U1208" i="1"/>
  <c r="U1217" i="1"/>
  <c r="U1197" i="1"/>
  <c r="U1180" i="1"/>
  <c r="U1200" i="1"/>
  <c r="U1175" i="1"/>
  <c r="U1226" i="1"/>
  <c r="U1227" i="1"/>
  <c r="U1183" i="1"/>
  <c r="U1218" i="1"/>
  <c r="U1212" i="1"/>
  <c r="U1174" i="1"/>
  <c r="U1152" i="1"/>
  <c r="U1216" i="1"/>
  <c r="U1219" i="1"/>
  <c r="U1182" i="1"/>
  <c r="U1192" i="1"/>
  <c r="U1209" i="1"/>
  <c r="U1170" i="1"/>
  <c r="U1195" i="1"/>
  <c r="U1196" i="1"/>
  <c r="U1153" i="1"/>
  <c r="U1147" i="1"/>
  <c r="U1136" i="1"/>
  <c r="U1077" i="1"/>
  <c r="U1205" i="1"/>
  <c r="U1229" i="1"/>
  <c r="U1189" i="1"/>
  <c r="U1176" i="1"/>
  <c r="U1207" i="1"/>
  <c r="U1080" i="1"/>
  <c r="U1154" i="1"/>
  <c r="U1149" i="1"/>
  <c r="U1106" i="1"/>
  <c r="U1139" i="1"/>
  <c r="U1074" i="1"/>
  <c r="U1211" i="1"/>
  <c r="U1203" i="1"/>
  <c r="U1185" i="1"/>
  <c r="U1179" i="1"/>
  <c r="U1111" i="1"/>
  <c r="U1108" i="1"/>
  <c r="U1085" i="1"/>
  <c r="U1168" i="1"/>
  <c r="U1178" i="1"/>
  <c r="U1115" i="1"/>
  <c r="U1215" i="1"/>
  <c r="U1065" i="1"/>
  <c r="U1220" i="1"/>
  <c r="U1078" i="1"/>
  <c r="U1099" i="1"/>
  <c r="U1121" i="1"/>
  <c r="U1160" i="1"/>
  <c r="U1125" i="1"/>
  <c r="U1186" i="1"/>
  <c r="U1104" i="1"/>
  <c r="U1122" i="1"/>
  <c r="U1003" i="1"/>
  <c r="U1021" i="1"/>
  <c r="U1173" i="1"/>
  <c r="U986" i="1"/>
  <c r="U1198" i="1"/>
  <c r="U1058" i="1"/>
  <c r="U1093" i="1"/>
  <c r="U1105" i="1"/>
  <c r="U1164" i="1"/>
  <c r="U1188" i="1"/>
  <c r="U1056" i="1"/>
  <c r="U960" i="1"/>
  <c r="U1092" i="1"/>
  <c r="U1096" i="1"/>
  <c r="U1163" i="1"/>
  <c r="U928" i="1"/>
  <c r="U1109" i="1"/>
  <c r="U1004" i="1"/>
  <c r="U1129" i="1"/>
  <c r="U1082" i="1"/>
  <c r="U1201" i="1"/>
  <c r="U1130" i="1"/>
  <c r="U1035" i="1"/>
  <c r="U930" i="1"/>
  <c r="U1135" i="1"/>
  <c r="U1137" i="1"/>
  <c r="U970" i="1"/>
  <c r="U1191" i="1"/>
  <c r="U990" i="1"/>
  <c r="U1159" i="1"/>
  <c r="U1133" i="1"/>
  <c r="U1190" i="1"/>
  <c r="U1134" i="1"/>
  <c r="U959" i="1"/>
  <c r="U999" i="1"/>
  <c r="U1184" i="1"/>
  <c r="U1057" i="1"/>
  <c r="U1043" i="1"/>
  <c r="U1145" i="1"/>
  <c r="U1055" i="1"/>
  <c r="U920" i="1"/>
  <c r="U1165" i="1"/>
  <c r="U1156" i="1"/>
  <c r="U1114" i="1"/>
  <c r="U1029" i="1"/>
  <c r="U1026" i="1"/>
  <c r="U973" i="1"/>
  <c r="U1155" i="1"/>
  <c r="U1036" i="1"/>
  <c r="U871" i="1"/>
  <c r="U985" i="1"/>
  <c r="U1144" i="1"/>
  <c r="U1126" i="1"/>
  <c r="U969" i="1"/>
  <c r="U1015" i="1"/>
  <c r="U1142" i="1"/>
  <c r="U1081" i="1"/>
  <c r="U1073" i="1"/>
  <c r="U1100" i="1"/>
  <c r="U1202" i="1"/>
  <c r="U1102" i="1"/>
  <c r="U984" i="1"/>
  <c r="U991" i="1"/>
  <c r="U1060" i="1"/>
  <c r="U993" i="1"/>
  <c r="U952" i="1"/>
  <c r="U1177" i="1"/>
  <c r="U1097" i="1"/>
  <c r="U1210" i="1"/>
  <c r="U1166" i="1"/>
  <c r="U1167" i="1"/>
  <c r="U981" i="1"/>
  <c r="U1206" i="1"/>
  <c r="U1033" i="1"/>
  <c r="U937" i="1"/>
  <c r="U1059" i="1"/>
  <c r="U1127" i="1"/>
  <c r="U1124" i="1"/>
  <c r="U918" i="1"/>
  <c r="U933" i="1"/>
  <c r="U1066" i="1"/>
  <c r="U1123" i="1"/>
  <c r="U901" i="1"/>
  <c r="U874" i="1"/>
  <c r="U1013" i="1"/>
  <c r="U1053" i="1"/>
  <c r="U923" i="1"/>
  <c r="U958" i="1"/>
  <c r="U953" i="1"/>
  <c r="U1034" i="1"/>
  <c r="U893" i="1"/>
  <c r="U1050" i="1"/>
  <c r="U1172" i="1"/>
  <c r="U822" i="1"/>
  <c r="U1000" i="1"/>
  <c r="U1151" i="1"/>
  <c r="U1143" i="1"/>
  <c r="U1072" i="1"/>
  <c r="U1070" i="1"/>
  <c r="U1032" i="1"/>
  <c r="U1014" i="1"/>
  <c r="U1086" i="1"/>
  <c r="U948" i="1"/>
  <c r="U983" i="1"/>
  <c r="U1017" i="1"/>
  <c r="U921" i="1"/>
  <c r="U949" i="1"/>
  <c r="U1069" i="1"/>
  <c r="U820" i="1"/>
  <c r="U1146" i="1"/>
  <c r="U1181" i="1"/>
  <c r="U1222" i="1"/>
  <c r="U988" i="1"/>
  <c r="U1131" i="1"/>
  <c r="U1194" i="1"/>
  <c r="U1007" i="1"/>
  <c r="U947" i="1"/>
  <c r="U968" i="1"/>
  <c r="U1150" i="1"/>
  <c r="U995" i="1"/>
  <c r="U996" i="1"/>
  <c r="U1090" i="1"/>
  <c r="U1011" i="1"/>
  <c r="U976" i="1"/>
  <c r="U1087" i="1"/>
  <c r="U926" i="1"/>
  <c r="U1075" i="1"/>
  <c r="U1204" i="1"/>
  <c r="U848" i="1"/>
  <c r="U1024" i="1"/>
  <c r="U957" i="1"/>
  <c r="U1169" i="1"/>
  <c r="U1138" i="1"/>
  <c r="U1049" i="1"/>
  <c r="U826" i="1"/>
  <c r="U911" i="1"/>
  <c r="U974" i="1"/>
  <c r="U1113" i="1"/>
  <c r="U1171" i="1"/>
  <c r="U1084" i="1"/>
  <c r="U931" i="1"/>
  <c r="U1089" i="1"/>
  <c r="U932" i="1"/>
  <c r="U839" i="1"/>
  <c r="U944" i="1"/>
  <c r="U1028" i="1"/>
  <c r="U1001" i="1"/>
  <c r="U1005" i="1"/>
  <c r="U1016" i="1"/>
  <c r="U769" i="1"/>
  <c r="U854" i="1"/>
  <c r="U909" i="1"/>
  <c r="U1088" i="1"/>
  <c r="U819" i="1"/>
  <c r="U1079" i="1"/>
  <c r="U967" i="1"/>
  <c r="U788" i="1"/>
  <c r="U906" i="1"/>
  <c r="U979" i="1"/>
  <c r="U997" i="1"/>
  <c r="U943" i="1"/>
  <c r="U773" i="1"/>
  <c r="U1008" i="1"/>
  <c r="U869" i="1"/>
  <c r="U870" i="1"/>
  <c r="U1052" i="1"/>
  <c r="U710" i="1"/>
  <c r="U916" i="1"/>
  <c r="U951" i="1"/>
  <c r="U980" i="1"/>
  <c r="U1103" i="1"/>
  <c r="U1132" i="1"/>
  <c r="U1091" i="1"/>
  <c r="U859" i="1"/>
  <c r="U1045" i="1"/>
  <c r="U778" i="1"/>
  <c r="U780" i="1"/>
  <c r="U806" i="1"/>
  <c r="U1048" i="1"/>
  <c r="U1044" i="1"/>
  <c r="U863" i="1"/>
  <c r="U1141" i="1"/>
  <c r="U915" i="1"/>
  <c r="U689" i="1"/>
  <c r="U814" i="1"/>
  <c r="U748" i="1"/>
  <c r="U840" i="1"/>
  <c r="U904" i="1"/>
  <c r="U832" i="1"/>
  <c r="U867" i="1"/>
  <c r="U1067" i="1"/>
  <c r="U760" i="1"/>
  <c r="U1046" i="1"/>
  <c r="U907" i="1"/>
  <c r="U908" i="1"/>
  <c r="U1162" i="1"/>
  <c r="U899" i="1"/>
  <c r="U1023" i="1"/>
  <c r="U1038" i="1"/>
  <c r="U857" i="1"/>
  <c r="U751" i="1"/>
  <c r="U1071" i="1"/>
  <c r="U798" i="1"/>
  <c r="U1039" i="1"/>
  <c r="U877" i="1"/>
  <c r="U1101" i="1"/>
  <c r="U805" i="1"/>
  <c r="U1148" i="1"/>
  <c r="U925" i="1"/>
  <c r="U1094" i="1"/>
  <c r="U852" i="1"/>
  <c r="U1010" i="1"/>
  <c r="U808" i="1"/>
  <c r="U972" i="1"/>
  <c r="U939" i="1"/>
  <c r="U1068" i="1"/>
  <c r="U1193" i="1"/>
  <c r="U847" i="1"/>
  <c r="U891" i="1"/>
  <c r="U1062" i="1"/>
  <c r="U1030" i="1"/>
  <c r="U864" i="1"/>
  <c r="U965" i="1"/>
  <c r="U894" i="1"/>
  <c r="U964" i="1"/>
  <c r="U728" i="1"/>
  <c r="U676" i="1"/>
  <c r="U896" i="1"/>
  <c r="U777" i="1"/>
  <c r="U910" i="1"/>
  <c r="U725" i="1"/>
  <c r="U1061" i="1"/>
  <c r="U1128" i="1"/>
  <c r="U1063" i="1"/>
  <c r="U1037" i="1"/>
  <c r="U1018" i="1"/>
  <c r="U743" i="1"/>
  <c r="U942" i="1"/>
  <c r="U812" i="1"/>
  <c r="U665" i="1"/>
  <c r="U731" i="1"/>
  <c r="U690" i="1"/>
  <c r="U950" i="1"/>
  <c r="U900" i="1"/>
  <c r="U924" i="1"/>
  <c r="U792" i="1"/>
  <c r="U661" i="1"/>
  <c r="U936" i="1"/>
  <c r="U987" i="1"/>
  <c r="U860" i="1"/>
  <c r="U998" i="1"/>
  <c r="U856" i="1"/>
  <c r="U831" i="1"/>
  <c r="U935" i="1"/>
  <c r="U1027" i="1"/>
  <c r="U879" i="1"/>
  <c r="U761" i="1"/>
  <c r="U929" i="1"/>
  <c r="U716" i="1"/>
  <c r="U752" i="1"/>
  <c r="U598" i="1"/>
  <c r="U1187" i="1"/>
  <c r="U734" i="1"/>
  <c r="U1025" i="1"/>
  <c r="U1098" i="1"/>
  <c r="U1009" i="1"/>
  <c r="U627" i="1"/>
  <c r="U978" i="1"/>
  <c r="U912" i="1"/>
  <c r="U613" i="1"/>
  <c r="U807" i="1"/>
  <c r="U903" i="1"/>
  <c r="U801" i="1"/>
  <c r="U905" i="1"/>
  <c r="U883" i="1"/>
  <c r="U745" i="1"/>
  <c r="U644" i="1"/>
  <c r="U878" i="1"/>
  <c r="U662" i="1"/>
  <c r="U630" i="1"/>
  <c r="U741" i="1"/>
  <c r="U1140" i="1"/>
  <c r="U1119" i="1"/>
  <c r="U1199" i="1"/>
  <c r="U797" i="1"/>
  <c r="U660" i="1"/>
  <c r="U721" i="1"/>
  <c r="U851" i="1"/>
  <c r="U927" i="1"/>
  <c r="U1054" i="1"/>
  <c r="U632" i="1"/>
  <c r="U811" i="1"/>
  <c r="U861" i="1"/>
  <c r="U735" i="1"/>
  <c r="U963" i="1"/>
  <c r="U779" i="1"/>
  <c r="U1047" i="1"/>
  <c r="U1064" i="1"/>
  <c r="U834" i="1"/>
  <c r="U890" i="1"/>
  <c r="U898" i="1"/>
  <c r="U634" i="1"/>
  <c r="U1158" i="1"/>
  <c r="U1161" i="1"/>
  <c r="U887" i="1"/>
  <c r="U1002" i="1"/>
  <c r="U897" i="1"/>
  <c r="U601" i="1"/>
  <c r="U880" i="1"/>
  <c r="U1095" i="1"/>
  <c r="U858" i="1"/>
  <c r="U635" i="1"/>
  <c r="U790" i="1"/>
  <c r="U573" i="1"/>
  <c r="U989" i="1"/>
  <c r="U892" i="1"/>
  <c r="U803" i="1"/>
  <c r="U705" i="1"/>
  <c r="U875" i="1"/>
  <c r="U709" i="1"/>
  <c r="U553" i="1"/>
  <c r="U791" i="1"/>
  <c r="U1107" i="1"/>
  <c r="U767" i="1"/>
  <c r="U1117" i="1"/>
  <c r="U1022" i="1"/>
  <c r="U954" i="1"/>
  <c r="U703" i="1"/>
  <c r="U523" i="1"/>
  <c r="U737" i="1"/>
  <c r="U946" i="1"/>
  <c r="U853" i="1"/>
  <c r="U913" i="1"/>
  <c r="U821" i="1"/>
  <c r="U1112" i="1"/>
  <c r="U772" i="1"/>
  <c r="U651" i="1"/>
  <c r="U642" i="1"/>
  <c r="U566" i="1"/>
  <c r="U868" i="1"/>
  <c r="U917" i="1"/>
  <c r="U881" i="1"/>
  <c r="U982" i="1"/>
  <c r="U511" i="1"/>
  <c r="U816" i="1"/>
  <c r="U945" i="1"/>
  <c r="U617" i="1"/>
  <c r="U653" i="1"/>
  <c r="U722" i="1"/>
  <c r="U941" i="1"/>
  <c r="U697" i="1"/>
  <c r="U550" i="1"/>
  <c r="U753" i="1"/>
  <c r="U855" i="1"/>
  <c r="U755" i="1"/>
  <c r="U833" i="1"/>
  <c r="U1157" i="1"/>
  <c r="U499" i="1"/>
  <c r="U828" i="1"/>
  <c r="U699" i="1"/>
  <c r="U713" i="1"/>
  <c r="U560" i="1"/>
  <c r="U886" i="1"/>
  <c r="U1118" i="1"/>
  <c r="U956" i="1"/>
  <c r="U730" i="1"/>
  <c r="U975" i="1"/>
  <c r="U873" i="1"/>
  <c r="U733" i="1"/>
  <c r="U545" i="1"/>
  <c r="U842" i="1"/>
  <c r="U519" i="1"/>
  <c r="U641" i="1"/>
  <c r="U607" i="1"/>
  <c r="U846" i="1"/>
  <c r="U633" i="1"/>
  <c r="U518" i="1"/>
  <c r="U543" i="1"/>
  <c r="U544" i="1"/>
  <c r="U708" i="1"/>
  <c r="U809" i="1"/>
  <c r="U1031" i="1"/>
  <c r="U1006" i="1"/>
  <c r="U817" i="1"/>
  <c r="U844" i="1"/>
  <c r="U876" i="1"/>
  <c r="U795" i="1"/>
  <c r="U655" i="1"/>
  <c r="U1019" i="1"/>
  <c r="U971" i="1"/>
  <c r="U688" i="1"/>
  <c r="U818" i="1"/>
  <c r="U702" i="1"/>
  <c r="U914" i="1"/>
  <c r="U506" i="1"/>
  <c r="U572" i="1"/>
  <c r="U837" i="1"/>
  <c r="U1012" i="1"/>
  <c r="U679" i="1"/>
  <c r="U640" i="1"/>
  <c r="U850" i="1"/>
  <c r="U629" i="1"/>
  <c r="U756" i="1"/>
  <c r="U615" i="1"/>
  <c r="U1110" i="1"/>
  <c r="U567" i="1"/>
  <c r="U670" i="1"/>
  <c r="U464" i="1"/>
  <c r="U885" i="1"/>
  <c r="U656" i="1"/>
  <c r="U799" i="1"/>
  <c r="U482" i="1"/>
  <c r="U796" i="1"/>
  <c r="U1042" i="1"/>
  <c r="U643" i="1"/>
  <c r="U961" i="1"/>
  <c r="U680" i="1"/>
  <c r="U602" i="1"/>
  <c r="U889" i="1"/>
  <c r="U895" i="1"/>
  <c r="U584" i="1"/>
  <c r="U775" i="1"/>
  <c r="U813" i="1"/>
  <c r="U830" i="1"/>
  <c r="U476" i="1"/>
  <c r="U922" i="1"/>
  <c r="U962" i="1"/>
  <c r="U759" i="1"/>
  <c r="U992" i="1"/>
  <c r="U659" i="1"/>
  <c r="U766" i="1"/>
  <c r="U836" i="1"/>
  <c r="U484" i="1"/>
  <c r="U570" i="1"/>
  <c r="U1116" i="1"/>
  <c r="U538" i="1"/>
  <c r="U744" i="1"/>
  <c r="U783" i="1"/>
  <c r="U872" i="1"/>
  <c r="U456" i="1"/>
  <c r="U692" i="1"/>
  <c r="U955" i="1"/>
  <c r="U1083" i="1"/>
  <c r="U463" i="1"/>
  <c r="U395" i="1"/>
  <c r="U426" i="1"/>
  <c r="U732" i="1"/>
  <c r="U403" i="1"/>
  <c r="U768" i="1"/>
  <c r="U521" i="1"/>
  <c r="U576" i="1"/>
  <c r="U528" i="1"/>
  <c r="U556" i="1"/>
  <c r="U628" i="1"/>
  <c r="U401" i="1"/>
  <c r="U714" i="1"/>
  <c r="U749" i="1"/>
  <c r="U533" i="1"/>
  <c r="U726" i="1"/>
  <c r="U841" i="1"/>
  <c r="U416" i="1"/>
  <c r="U677" i="1"/>
  <c r="U829" i="1"/>
  <c r="U606" i="1"/>
  <c r="U675" i="1"/>
  <c r="U765" i="1"/>
  <c r="U934" i="1"/>
  <c r="U603" i="1"/>
  <c r="U491" i="1"/>
  <c r="U843" i="1"/>
  <c r="U514" i="1"/>
  <c r="U592" i="1"/>
  <c r="U719" i="1"/>
  <c r="U736" i="1"/>
  <c r="U593" i="1"/>
  <c r="U838" i="1"/>
  <c r="U512" i="1"/>
  <c r="U530" i="1"/>
  <c r="U681" i="1"/>
  <c r="U802" i="1"/>
  <c r="U793" i="1"/>
  <c r="U658" i="1"/>
  <c r="U547" i="1"/>
  <c r="U562" i="1"/>
  <c r="U450" i="1"/>
  <c r="U612" i="1"/>
  <c r="U827" i="1"/>
  <c r="U1040" i="1"/>
  <c r="U691" i="1"/>
  <c r="U618" i="1"/>
  <c r="U542" i="1"/>
  <c r="U539" i="1"/>
  <c r="U1076" i="1"/>
  <c r="U609" i="1"/>
  <c r="U938" i="1"/>
  <c r="U405" i="1"/>
  <c r="U452" i="1"/>
  <c r="U888" i="1"/>
  <c r="U740" i="1"/>
  <c r="U579" i="1"/>
  <c r="U374" i="1"/>
  <c r="U383" i="1"/>
  <c r="U478" i="1"/>
  <c r="U758" i="1"/>
  <c r="U619" i="1"/>
  <c r="U757" i="1"/>
  <c r="U639" i="1"/>
  <c r="U966" i="1"/>
  <c r="U473" i="1"/>
  <c r="U444" i="1"/>
  <c r="U590" i="1"/>
  <c r="U460" i="1"/>
  <c r="U449" i="1"/>
  <c r="U669" i="1"/>
  <c r="U825" i="1"/>
  <c r="U563" i="1"/>
  <c r="U380" i="1"/>
  <c r="U495" i="1"/>
  <c r="U724" i="1"/>
  <c r="U994" i="1"/>
  <c r="U750" i="1"/>
  <c r="U621" i="1"/>
  <c r="U611" i="1"/>
  <c r="U636" i="1"/>
  <c r="U569" i="1"/>
  <c r="U481" i="1"/>
  <c r="U376" i="1"/>
  <c r="U706" i="1"/>
  <c r="U540" i="1"/>
  <c r="U1041" i="1"/>
  <c r="U575" i="1"/>
  <c r="U480" i="1"/>
  <c r="U654" i="1"/>
  <c r="U371" i="1"/>
  <c r="U559" i="1"/>
  <c r="U524" i="1"/>
  <c r="U742" i="1"/>
  <c r="U433" i="1"/>
  <c r="U771" i="1"/>
  <c r="U581" i="1"/>
  <c r="U637" i="1"/>
  <c r="U763" i="1"/>
  <c r="U604" i="1"/>
  <c r="U940" i="1"/>
  <c r="U720" i="1"/>
  <c r="U494" i="1"/>
  <c r="U498" i="1"/>
  <c r="U565" i="1"/>
  <c r="U390" i="1"/>
  <c r="U387" i="1"/>
  <c r="U762" i="1"/>
  <c r="U770" i="1"/>
  <c r="U589" i="1"/>
  <c r="U610" i="1"/>
  <c r="U764" i="1"/>
  <c r="U718" i="1"/>
  <c r="U564" i="1"/>
  <c r="U308" i="1"/>
  <c r="U638" i="1"/>
  <c r="U508" i="1"/>
  <c r="U432" i="1"/>
  <c r="U810" i="1"/>
  <c r="U600" i="1"/>
  <c r="U466" i="1"/>
  <c r="U486" i="1"/>
  <c r="U587" i="1"/>
  <c r="U789" i="1"/>
  <c r="U776" i="1"/>
  <c r="U578" i="1"/>
  <c r="U717" i="1"/>
  <c r="U849" i="1"/>
  <c r="U668" i="1"/>
  <c r="U672" i="1"/>
  <c r="U536" i="1"/>
  <c r="U624" i="1"/>
  <c r="U552" i="1"/>
  <c r="U694" i="1"/>
  <c r="U786" i="1"/>
  <c r="U588" i="1"/>
  <c r="U483" i="1"/>
  <c r="U509" i="1"/>
  <c r="U434" i="1"/>
  <c r="U448" i="1"/>
  <c r="U496" i="1"/>
  <c r="U652" i="1"/>
  <c r="U696" i="1"/>
  <c r="U862" i="1"/>
  <c r="U475" i="1"/>
  <c r="U723" i="1"/>
  <c r="U417" i="1"/>
  <c r="U1120" i="1"/>
  <c r="U585" i="1"/>
  <c r="U596" i="1"/>
  <c r="U616" i="1"/>
  <c r="U522" i="1"/>
  <c r="U580" i="1"/>
  <c r="U712" i="1"/>
  <c r="U568" i="1"/>
  <c r="U614" i="1"/>
  <c r="U747" i="1"/>
  <c r="U368" i="1"/>
  <c r="U503" i="1"/>
  <c r="U919" i="1"/>
  <c r="U442" i="1"/>
  <c r="U739" i="1"/>
  <c r="U583" i="1"/>
  <c r="U823" i="1"/>
  <c r="U866" i="1"/>
  <c r="U443" i="1"/>
  <c r="U626" i="1"/>
  <c r="U774" i="1"/>
  <c r="U682" i="1"/>
  <c r="U501" i="1"/>
  <c r="U507" i="1"/>
  <c r="U977" i="1"/>
  <c r="U527" i="1"/>
  <c r="U465" i="1"/>
  <c r="U695" i="1"/>
  <c r="U379" i="1"/>
  <c r="U441" i="1"/>
  <c r="U451" i="1"/>
  <c r="U865" i="1"/>
  <c r="U351" i="1"/>
  <c r="U261" i="1"/>
  <c r="U738" i="1"/>
  <c r="U513" i="1"/>
  <c r="U457" i="1"/>
  <c r="U458" i="1"/>
  <c r="U334" i="1"/>
  <c r="U470" i="1"/>
  <c r="U678" i="1"/>
  <c r="U582" i="1"/>
  <c r="U357" i="1"/>
  <c r="U446" i="1"/>
  <c r="U290" i="1"/>
  <c r="U541" i="1"/>
  <c r="U882" i="1"/>
  <c r="U271" i="1"/>
  <c r="U529" i="1"/>
  <c r="U364" i="1"/>
  <c r="U663" i="1"/>
  <c r="U289" i="1"/>
  <c r="U727" i="1"/>
  <c r="U359" i="1"/>
  <c r="U1020" i="1"/>
  <c r="U288" i="1"/>
  <c r="U394" i="1"/>
  <c r="U389" i="1"/>
  <c r="U474" i="1"/>
  <c r="U349" i="1"/>
  <c r="U413" i="1"/>
  <c r="U370" i="1"/>
  <c r="U341" i="1"/>
  <c r="U781" i="1"/>
  <c r="U391" i="1"/>
  <c r="U354" i="1"/>
  <c r="U355" i="1"/>
  <c r="U711" i="1"/>
  <c r="U388" i="1"/>
  <c r="U238" i="1"/>
  <c r="U647" i="1"/>
  <c r="U684" i="1"/>
  <c r="U419" i="1"/>
  <c r="U280" i="1"/>
  <c r="U435" i="1"/>
  <c r="U369" i="1"/>
  <c r="U347" i="1"/>
  <c r="U440" i="1"/>
  <c r="U794" i="1"/>
  <c r="U497" i="1"/>
  <c r="U787" i="1"/>
  <c r="U393" i="1"/>
  <c r="U343" i="1"/>
  <c r="U453" i="1"/>
  <c r="U305" i="1"/>
  <c r="U577" i="1"/>
  <c r="U746" i="1"/>
  <c r="U902" i="1"/>
  <c r="U698" i="1"/>
  <c r="U557" i="1"/>
  <c r="U459" i="1"/>
  <c r="U671" i="1"/>
  <c r="U398" i="1"/>
  <c r="U535" i="1"/>
  <c r="U800" i="1"/>
  <c r="U260" i="1"/>
  <c r="U549" i="1"/>
  <c r="U884" i="1"/>
  <c r="U729" i="1"/>
  <c r="U421" i="1"/>
  <c r="U492" i="1"/>
  <c r="U414" i="1"/>
  <c r="U350" i="1"/>
  <c r="U472" i="1"/>
  <c r="U366" i="1"/>
  <c r="U358" i="1"/>
  <c r="U407" i="1"/>
  <c r="U784" i="1"/>
  <c r="U546" i="1"/>
  <c r="U411" i="1"/>
  <c r="U259" i="1"/>
  <c r="U754" i="1"/>
  <c r="U525" i="1"/>
  <c r="U276" i="1"/>
  <c r="U502" i="1"/>
  <c r="U361" i="1"/>
  <c r="U320" i="1"/>
  <c r="U381" i="1"/>
  <c r="U707" i="1"/>
  <c r="U427" i="1"/>
  <c r="U298" i="1"/>
  <c r="U591" i="1"/>
  <c r="U304" i="1"/>
  <c r="U558" i="1"/>
  <c r="U420" i="1"/>
  <c r="U439" i="1"/>
  <c r="U404" i="1"/>
  <c r="U307" i="1"/>
  <c r="U372" i="1"/>
  <c r="U510" i="1"/>
  <c r="U428" i="1"/>
  <c r="U402" i="1"/>
  <c r="U845" i="1"/>
  <c r="U196" i="1"/>
  <c r="U247" i="1"/>
  <c r="U422" i="1"/>
  <c r="U489" i="1"/>
  <c r="U824" i="1"/>
  <c r="U445" i="1"/>
  <c r="U597" i="1"/>
  <c r="U500" i="1"/>
  <c r="U378" i="1"/>
  <c r="U623" i="1"/>
  <c r="U650" i="1"/>
  <c r="U224" i="1"/>
  <c r="U461" i="1"/>
  <c r="U316" i="1"/>
  <c r="U429" i="1"/>
  <c r="U373" i="1"/>
  <c r="U782" i="1"/>
  <c r="U363" i="1"/>
  <c r="U309" i="1"/>
  <c r="U586" i="1"/>
  <c r="U532" i="1"/>
  <c r="U785" i="1"/>
  <c r="U244" i="1"/>
  <c r="U526" i="1"/>
  <c r="U362" i="1"/>
  <c r="U257" i="1"/>
  <c r="U250" i="1"/>
  <c r="U329" i="1"/>
  <c r="U687" i="1"/>
  <c r="U548" i="1"/>
  <c r="U437" i="1"/>
  <c r="U648" i="1"/>
  <c r="U700" i="1"/>
  <c r="U531" i="1"/>
  <c r="U177" i="1"/>
  <c r="U424" i="1"/>
  <c r="U646" i="1"/>
  <c r="U520" i="1"/>
  <c r="U594" i="1"/>
  <c r="U504" i="1"/>
  <c r="U406" i="1"/>
  <c r="U392" i="1"/>
  <c r="U281" i="1"/>
  <c r="U685" i="1"/>
  <c r="U331" i="1"/>
  <c r="U490" i="1"/>
  <c r="U303" i="1"/>
  <c r="U1051" i="1"/>
  <c r="U561" i="1"/>
  <c r="U418" i="1"/>
  <c r="U534" i="1"/>
  <c r="U471" i="1"/>
  <c r="U683" i="1"/>
  <c r="U666" i="1"/>
  <c r="U219" i="1"/>
  <c r="U205" i="1"/>
  <c r="U555" i="1"/>
  <c r="U649" i="1"/>
  <c r="U673" i="1"/>
  <c r="U315" i="1"/>
  <c r="U229" i="1"/>
  <c r="U400" i="1"/>
  <c r="U279" i="1"/>
  <c r="U574" i="1"/>
  <c r="U551" i="1"/>
  <c r="U454" i="1"/>
  <c r="U342" i="1"/>
  <c r="U804" i="1"/>
  <c r="U352" i="1"/>
  <c r="U469" i="1"/>
  <c r="U657" i="1"/>
  <c r="U377" i="1"/>
  <c r="U285" i="1"/>
  <c r="U256" i="1"/>
  <c r="U189" i="1"/>
  <c r="U645" i="1"/>
  <c r="U686" i="1"/>
  <c r="U188" i="1"/>
  <c r="U231" i="1"/>
  <c r="U223" i="1"/>
  <c r="U835" i="1"/>
  <c r="U299" i="1"/>
  <c r="U595" i="1"/>
  <c r="U275" i="1"/>
  <c r="U605" i="1"/>
  <c r="U323" i="1"/>
  <c r="U333" i="1"/>
  <c r="U340" i="1"/>
  <c r="U263" i="1"/>
  <c r="U295" i="1"/>
  <c r="U479" i="1"/>
  <c r="U176" i="1"/>
  <c r="U139" i="1"/>
  <c r="U622" i="1"/>
  <c r="U268" i="1"/>
  <c r="U701" i="1"/>
  <c r="U447" i="1"/>
  <c r="U284" i="1"/>
  <c r="U286" i="1"/>
  <c r="U348" i="1"/>
  <c r="U209" i="1"/>
  <c r="U346" i="1"/>
  <c r="U493" i="1"/>
  <c r="U599" i="1"/>
  <c r="U311" i="1"/>
  <c r="U704" i="1"/>
  <c r="U161" i="1"/>
  <c r="U278" i="1"/>
  <c r="U338" i="1"/>
  <c r="U277" i="1"/>
  <c r="U218" i="1"/>
  <c r="U693" i="1"/>
  <c r="U302" i="1"/>
  <c r="U222" i="1"/>
  <c r="U313" i="1"/>
  <c r="U356" i="1"/>
  <c r="U399" i="1"/>
  <c r="U230" i="1"/>
  <c r="U310" i="1"/>
  <c r="U410" i="1"/>
  <c r="U674" i="1"/>
  <c r="U608" i="1"/>
  <c r="U186" i="1"/>
  <c r="U235" i="1"/>
  <c r="U246" i="1"/>
  <c r="U300" i="1"/>
  <c r="U430" i="1"/>
  <c r="U488" i="1"/>
  <c r="U625" i="1"/>
  <c r="U293" i="1"/>
  <c r="U467" i="1"/>
  <c r="U412" i="1"/>
  <c r="U324" i="1"/>
  <c r="U345" i="1"/>
  <c r="U226" i="1"/>
  <c r="U208" i="1"/>
  <c r="U210" i="1"/>
  <c r="U156" i="1"/>
  <c r="U203" i="1"/>
  <c r="U166" i="1"/>
  <c r="U201" i="1"/>
  <c r="U234" i="1"/>
  <c r="U155" i="1"/>
  <c r="U337" i="1"/>
  <c r="U664" i="1"/>
  <c r="U367" i="1"/>
  <c r="U477" i="1"/>
  <c r="U237" i="1"/>
  <c r="U396" i="1"/>
  <c r="U179" i="1"/>
  <c r="U365" i="1"/>
  <c r="U332" i="1"/>
  <c r="U291" i="1"/>
  <c r="U241" i="1"/>
  <c r="U297" i="1"/>
  <c r="U171" i="1"/>
  <c r="U225" i="1"/>
  <c r="U159" i="1"/>
  <c r="U505" i="1"/>
  <c r="U715" i="1"/>
  <c r="U620" i="1"/>
  <c r="U137" i="1"/>
  <c r="U462" i="1"/>
  <c r="U206" i="1"/>
  <c r="U292" i="1"/>
  <c r="U517" i="1"/>
  <c r="U273" i="1"/>
  <c r="U266" i="1"/>
  <c r="U190" i="1"/>
  <c r="U330" i="1"/>
  <c r="U211" i="1"/>
  <c r="U162" i="1"/>
  <c r="U153" i="1"/>
  <c r="U200" i="1"/>
  <c r="U431" i="1"/>
  <c r="U516" i="1"/>
  <c r="U423" i="1"/>
  <c r="U385" i="1"/>
  <c r="U487" i="1"/>
  <c r="U306" i="1"/>
  <c r="U325" i="1"/>
  <c r="U269" i="1"/>
  <c r="U631" i="1"/>
  <c r="U151" i="1"/>
  <c r="U165" i="1"/>
  <c r="U149" i="1"/>
  <c r="U667" i="1"/>
  <c r="U296" i="1"/>
  <c r="U105" i="1"/>
  <c r="U282" i="1"/>
  <c r="U239" i="1"/>
  <c r="U143" i="1"/>
  <c r="U317" i="1"/>
  <c r="U93" i="1"/>
  <c r="U249" i="1"/>
  <c r="U232" i="1"/>
  <c r="U312" i="1"/>
  <c r="U397" i="1"/>
  <c r="U319" i="1"/>
  <c r="U326" i="1"/>
  <c r="U468" i="1"/>
  <c r="U353" i="1"/>
  <c r="U314" i="1"/>
  <c r="U212" i="1"/>
  <c r="U344" i="1"/>
  <c r="U125" i="1"/>
  <c r="U98" i="1"/>
  <c r="U169" i="1"/>
  <c r="U145" i="1"/>
  <c r="U321" i="1"/>
  <c r="U204" i="1"/>
  <c r="U438" i="1"/>
  <c r="U192" i="1"/>
  <c r="U415" i="1"/>
  <c r="U140" i="1"/>
  <c r="U267" i="1"/>
  <c r="U112" i="1"/>
  <c r="U185" i="1"/>
  <c r="U236" i="1"/>
  <c r="U154" i="1"/>
  <c r="U217" i="1"/>
  <c r="U375" i="1"/>
  <c r="U220" i="1"/>
  <c r="U425" i="1"/>
  <c r="U255" i="1"/>
  <c r="U91" i="1"/>
  <c r="U167" i="1"/>
  <c r="U318" i="1"/>
  <c r="U180" i="1"/>
  <c r="U264" i="1"/>
  <c r="U89" i="1"/>
  <c r="U537" i="1"/>
  <c r="U191" i="1"/>
  <c r="U571" i="1"/>
  <c r="U272" i="1"/>
  <c r="U136" i="1"/>
  <c r="U168" i="1"/>
  <c r="U301" i="1"/>
  <c r="U252" i="1"/>
  <c r="U270" i="1"/>
  <c r="U455" i="1"/>
  <c r="U384" i="1"/>
  <c r="U240" i="1"/>
  <c r="U339" i="1"/>
  <c r="U554" i="1"/>
  <c r="U119" i="1"/>
  <c r="U128" i="1"/>
  <c r="U258" i="1"/>
  <c r="U214" i="1"/>
  <c r="U336" i="1"/>
  <c r="U118" i="1"/>
  <c r="U95" i="1"/>
  <c r="U245" i="1"/>
  <c r="U265" i="1"/>
  <c r="U121" i="1"/>
  <c r="U147" i="1"/>
  <c r="U114" i="1"/>
  <c r="U107" i="1"/>
  <c r="U170" i="1"/>
  <c r="U100" i="1"/>
  <c r="U141" i="1"/>
  <c r="U157" i="1"/>
  <c r="U253" i="1"/>
  <c r="U130" i="1"/>
  <c r="U283" i="1"/>
  <c r="U408" i="1"/>
  <c r="U254" i="1"/>
  <c r="U152" i="1"/>
  <c r="U79" i="1"/>
  <c r="U327" i="1"/>
  <c r="U485" i="1"/>
  <c r="U82" i="1"/>
  <c r="U195" i="1"/>
  <c r="U106" i="1"/>
  <c r="U92" i="1"/>
  <c r="U216" i="1"/>
  <c r="U213" i="1"/>
  <c r="U115" i="1"/>
  <c r="U193" i="1"/>
  <c r="U97" i="1"/>
  <c r="U110" i="1"/>
  <c r="U160" i="1"/>
  <c r="U70" i="1"/>
  <c r="U175" i="1"/>
  <c r="U71" i="1"/>
  <c r="U183" i="1"/>
  <c r="U127" i="1"/>
  <c r="U164" i="1"/>
  <c r="U233" i="1"/>
  <c r="U99" i="1"/>
  <c r="U181" i="1"/>
  <c r="U163" i="1"/>
  <c r="U515" i="1"/>
  <c r="U360" i="1"/>
  <c r="U198" i="1"/>
  <c r="U133" i="1"/>
  <c r="U144" i="1"/>
  <c r="U194" i="1"/>
  <c r="U126" i="1"/>
  <c r="U76" i="1"/>
  <c r="U174" i="1"/>
  <c r="U120" i="1"/>
  <c r="U172" i="1"/>
  <c r="U294" i="1"/>
  <c r="U409" i="1"/>
  <c r="U146" i="1"/>
  <c r="U104" i="1"/>
  <c r="U65" i="1"/>
  <c r="U101" i="1"/>
  <c r="U436" i="1"/>
  <c r="U132" i="1"/>
  <c r="U111" i="1"/>
  <c r="U182" i="1"/>
  <c r="U124" i="1"/>
  <c r="U202" i="1"/>
  <c r="U102" i="1"/>
  <c r="U85" i="1"/>
  <c r="U86" i="1"/>
  <c r="U242" i="1"/>
  <c r="U158" i="1"/>
  <c r="U73" i="1"/>
  <c r="U48" i="1"/>
  <c r="U173" i="1"/>
  <c r="U328" i="1"/>
  <c r="U134" i="1"/>
  <c r="U88" i="1"/>
  <c r="U187" i="1"/>
  <c r="U386" i="1"/>
  <c r="U83" i="1"/>
  <c r="U150" i="1"/>
  <c r="U142" i="1"/>
  <c r="U103" i="1"/>
  <c r="U335" i="1"/>
  <c r="U274" i="1"/>
  <c r="U184" i="1"/>
  <c r="U56" i="1"/>
  <c r="U207" i="1"/>
  <c r="U382" i="1"/>
  <c r="U248" i="1"/>
  <c r="U262" i="1"/>
  <c r="U129" i="1"/>
  <c r="U109" i="1"/>
  <c r="U63" i="1"/>
  <c r="U59" i="1"/>
  <c r="U197" i="1"/>
  <c r="U243" i="1"/>
  <c r="U69" i="1"/>
  <c r="U116" i="1"/>
  <c r="U123" i="1"/>
  <c r="U122" i="1"/>
  <c r="U57" i="1"/>
  <c r="U44" i="1"/>
  <c r="U135" i="1"/>
  <c r="U61" i="1"/>
  <c r="U60" i="1"/>
  <c r="U90" i="1"/>
  <c r="U148" i="1"/>
  <c r="U72" i="1"/>
  <c r="U51" i="1"/>
  <c r="U80" i="1"/>
  <c r="U96" i="1"/>
  <c r="U62" i="1"/>
  <c r="U251" i="1"/>
  <c r="U815" i="1"/>
  <c r="U108" i="1"/>
  <c r="U53" i="1"/>
  <c r="U228" i="1"/>
  <c r="U178" i="1"/>
  <c r="U78" i="1"/>
  <c r="U77" i="1"/>
  <c r="U52" i="1"/>
  <c r="U94" i="1"/>
  <c r="U74" i="1"/>
  <c r="U227" i="1"/>
  <c r="U38" i="1"/>
  <c r="U87" i="1"/>
  <c r="U49" i="1"/>
  <c r="U117" i="1"/>
  <c r="U42" i="1"/>
  <c r="U81" i="1"/>
  <c r="U221" i="1"/>
  <c r="U131" i="1"/>
  <c r="U47" i="1"/>
  <c r="U66" i="1"/>
  <c r="U322" i="1"/>
  <c r="U50" i="1"/>
  <c r="U287" i="1"/>
  <c r="U84" i="1"/>
  <c r="U39" i="1"/>
  <c r="U36" i="1"/>
  <c r="U67" i="1"/>
  <c r="U138" i="1"/>
  <c r="U46" i="1"/>
  <c r="U40" i="1"/>
  <c r="U35" i="1"/>
  <c r="U199" i="1"/>
  <c r="U45" i="1"/>
  <c r="U215" i="1"/>
  <c r="U37" i="1"/>
  <c r="U43" i="1"/>
  <c r="U68" i="1"/>
  <c r="U41" i="1"/>
  <c r="U64" i="1"/>
  <c r="U54" i="1"/>
  <c r="U75" i="1"/>
  <c r="U55" i="1"/>
  <c r="U58" i="1"/>
  <c r="U34" i="1"/>
  <c r="U113" i="1"/>
  <c r="W928" i="1"/>
  <c r="W834" i="1"/>
  <c r="W893" i="1"/>
  <c r="W1036" i="1"/>
  <c r="W1019" i="1"/>
  <c r="W778" i="1"/>
  <c r="W1065" i="1"/>
  <c r="W1106" i="1"/>
  <c r="W974" i="1"/>
  <c r="W933" i="1"/>
  <c r="W988" i="1"/>
  <c r="W916" i="1"/>
  <c r="W887" i="1"/>
  <c r="W993" i="1"/>
  <c r="W1050" i="1"/>
  <c r="W1153" i="1"/>
  <c r="W1028" i="1"/>
  <c r="W1183" i="1"/>
  <c r="W1099" i="1"/>
  <c r="W1021" i="1"/>
  <c r="W1077" i="1"/>
  <c r="W564" i="1"/>
  <c r="W952" i="1"/>
  <c r="W1165" i="1"/>
  <c r="W1175" i="1"/>
  <c r="W665" i="1"/>
  <c r="W948" i="1"/>
  <c r="W1058" i="1"/>
  <c r="W953" i="1"/>
  <c r="W1060" i="1"/>
  <c r="W1108" i="1"/>
  <c r="W1056" i="1"/>
  <c r="W725" i="1"/>
  <c r="W937" i="1"/>
  <c r="W788" i="1"/>
  <c r="W1088" i="1"/>
  <c r="W1152" i="1"/>
  <c r="W926" i="1"/>
  <c r="W1085" i="1"/>
  <c r="W991" i="1"/>
  <c r="W1223" i="1"/>
  <c r="W1080" i="1"/>
  <c r="W1014" i="1"/>
  <c r="W1116" i="1"/>
  <c r="W1191" i="1"/>
  <c r="W1144" i="1"/>
  <c r="W960" i="1"/>
  <c r="W930" i="1"/>
  <c r="W1115" i="1"/>
  <c r="W922" i="1"/>
  <c r="W1035" i="1"/>
  <c r="W769" i="1"/>
  <c r="W661" i="1"/>
  <c r="W831" i="1"/>
  <c r="W1126" i="1"/>
  <c r="W871" i="1"/>
  <c r="W911" i="1"/>
  <c r="W848" i="1"/>
  <c r="W1026" i="1"/>
  <c r="W894" i="1"/>
  <c r="W752" i="1"/>
  <c r="W852" i="1"/>
  <c r="W876" i="1"/>
  <c r="W1082" i="1"/>
  <c r="W1161" i="1"/>
  <c r="W1196" i="1"/>
  <c r="W1119" i="1"/>
  <c r="W1224" i="1"/>
  <c r="W1075" i="1"/>
  <c r="W1167" i="1"/>
  <c r="W910" i="1"/>
  <c r="W1208" i="1"/>
  <c r="W1136" i="1"/>
  <c r="W915" i="1"/>
  <c r="W1006" i="1"/>
  <c r="W1098" i="1"/>
  <c r="W842" i="1"/>
  <c r="W814" i="1"/>
  <c r="W918" i="1"/>
  <c r="W1001" i="1"/>
  <c r="W1182" i="1"/>
  <c r="W973" i="1"/>
  <c r="W1164" i="1"/>
  <c r="W917" i="1"/>
  <c r="W820" i="1"/>
  <c r="W613" i="1"/>
  <c r="W892" i="1"/>
  <c r="W1043" i="1"/>
  <c r="W1109" i="1"/>
  <c r="W1154" i="1"/>
  <c r="W977" i="1"/>
  <c r="W1078" i="1"/>
  <c r="W970" i="1"/>
  <c r="W1139" i="1"/>
  <c r="W601" i="1"/>
  <c r="W1096" i="1"/>
  <c r="W1156" i="1"/>
  <c r="W754" i="1"/>
  <c r="W990" i="1"/>
  <c r="W1003" i="1"/>
  <c r="W563" i="1"/>
  <c r="W1007" i="1"/>
  <c r="W1209" i="1"/>
  <c r="W689" i="1"/>
  <c r="W692" i="1"/>
  <c r="W1034" i="1"/>
  <c r="W1111" i="1"/>
  <c r="W874" i="1"/>
  <c r="W904" i="1"/>
  <c r="W1131" i="1"/>
  <c r="W1105" i="1"/>
  <c r="W651" i="1"/>
  <c r="W1004" i="1"/>
  <c r="W555" i="1"/>
  <c r="W1200" i="1"/>
  <c r="W1104" i="1"/>
  <c r="W1074" i="1"/>
  <c r="W855" i="1"/>
  <c r="W634" i="1"/>
  <c r="W1214" i="1"/>
  <c r="W1170" i="1"/>
  <c r="W566" i="1"/>
  <c r="W1147" i="1"/>
  <c r="W464" i="1"/>
  <c r="W992" i="1"/>
  <c r="W1222" i="1"/>
  <c r="W1055" i="1"/>
  <c r="W958" i="1"/>
  <c r="W959" i="1"/>
  <c r="W1189" i="1"/>
  <c r="W1031" i="1"/>
  <c r="W1172" i="1"/>
  <c r="W672" i="1"/>
  <c r="W573" i="1"/>
  <c r="W1093" i="1"/>
  <c r="W901" i="1"/>
  <c r="W856" i="1"/>
  <c r="W1114" i="1"/>
  <c r="W891" i="1"/>
  <c r="W1174" i="1"/>
  <c r="W1149" i="1"/>
  <c r="W635" i="1"/>
  <c r="W859" i="1"/>
  <c r="W608" i="1"/>
  <c r="W806" i="1"/>
  <c r="W829" i="1"/>
  <c r="W676" i="1"/>
  <c r="W401" i="1"/>
  <c r="W403" i="1"/>
  <c r="W482" i="1"/>
  <c r="W1037" i="1"/>
  <c r="W826" i="1"/>
  <c r="W1180" i="1"/>
  <c r="W518" i="1"/>
  <c r="W1171" i="1"/>
  <c r="W1045" i="1"/>
  <c r="W1002" i="1"/>
  <c r="W867" i="1"/>
  <c r="W1053" i="1"/>
  <c r="W773" i="1"/>
  <c r="W999" i="1"/>
  <c r="W1071" i="1"/>
  <c r="W1211" i="1"/>
  <c r="W921" i="1"/>
  <c r="W777" i="1"/>
  <c r="W1195" i="1"/>
  <c r="W743" i="1"/>
  <c r="W527" i="1"/>
  <c r="W726" i="1"/>
  <c r="W832" i="1"/>
  <c r="W761" i="1"/>
  <c r="W1197" i="1"/>
  <c r="W1157" i="1"/>
  <c r="W949" i="1"/>
  <c r="W553" i="1"/>
  <c r="W604" i="1"/>
  <c r="W903" i="1"/>
  <c r="W630" i="1"/>
  <c r="W751" i="1"/>
  <c r="W1177" i="1"/>
  <c r="W808" i="1"/>
  <c r="W1132" i="1"/>
  <c r="W684" i="1"/>
  <c r="W968" i="1"/>
  <c r="W839" i="1"/>
  <c r="W576" i="1"/>
  <c r="W1217" i="1"/>
  <c r="W1081" i="1"/>
  <c r="W1129" i="1"/>
  <c r="W900" i="1"/>
  <c r="W506" i="1"/>
  <c r="W670" i="1"/>
  <c r="W705" i="1"/>
  <c r="W662" i="1"/>
  <c r="W1121" i="1"/>
  <c r="W394" i="1"/>
  <c r="W476" i="1"/>
  <c r="W1122" i="1"/>
  <c r="W719" i="1"/>
  <c r="W744" i="1"/>
  <c r="W1039" i="1"/>
  <c r="W691" i="1"/>
  <c r="W1125" i="1"/>
  <c r="W509" i="1"/>
  <c r="W539" i="1"/>
  <c r="W1073" i="1"/>
  <c r="W488" i="1"/>
  <c r="W969" i="1"/>
  <c r="W863" i="1"/>
  <c r="W1151" i="1"/>
  <c r="W1179" i="1"/>
  <c r="W1041" i="1"/>
  <c r="W1015" i="1"/>
  <c r="W1163" i="1"/>
  <c r="W1097" i="1"/>
  <c r="W995" i="1"/>
  <c r="W996" i="1"/>
  <c r="W1112" i="1"/>
  <c r="W923" i="1"/>
  <c r="W1033" i="1"/>
  <c r="W1225" i="1"/>
  <c r="W1135" i="1"/>
  <c r="W822" i="1"/>
  <c r="W907" i="1"/>
  <c r="W908" i="1"/>
  <c r="W1192" i="1"/>
  <c r="W846" i="1"/>
  <c r="W731" i="1"/>
  <c r="W1005" i="1"/>
  <c r="W274" i="1"/>
  <c r="W1199" i="1"/>
  <c r="W679" i="1"/>
  <c r="W545" i="1"/>
  <c r="W748" i="1"/>
  <c r="W980" i="1"/>
  <c r="W759" i="1"/>
  <c r="W522" i="1"/>
  <c r="W395" i="1"/>
  <c r="W984" i="1"/>
  <c r="W598" i="1"/>
  <c r="W1130" i="1"/>
  <c r="W675" i="1"/>
  <c r="W519" i="1"/>
  <c r="W560" i="1"/>
  <c r="W722" i="1"/>
  <c r="W981" i="1"/>
  <c r="W653" i="1"/>
  <c r="W768" i="1"/>
  <c r="W1029" i="1"/>
  <c r="W1057" i="1"/>
  <c r="W780" i="1"/>
  <c r="W896" i="1"/>
  <c r="W1118" i="1"/>
  <c r="W1176" i="1"/>
  <c r="W809" i="1"/>
  <c r="W1017" i="1"/>
  <c r="W413" i="1"/>
  <c r="W1133" i="1"/>
  <c r="W714" i="1"/>
  <c r="W869" i="1"/>
  <c r="W870" i="1"/>
  <c r="W997" i="1"/>
  <c r="W1120" i="1"/>
  <c r="W1092" i="1"/>
  <c r="W985" i="1"/>
  <c r="W1127" i="1"/>
  <c r="W906" i="1"/>
  <c r="W1155" i="1"/>
  <c r="W550" i="1"/>
  <c r="W868" i="1"/>
  <c r="W753" i="1"/>
  <c r="W1063" i="1"/>
  <c r="W579" i="1"/>
  <c r="W1160" i="1"/>
  <c r="W854" i="1"/>
  <c r="W1025" i="1"/>
  <c r="W632" i="1"/>
  <c r="W447" i="1"/>
  <c r="W593" i="1"/>
  <c r="W884" i="1"/>
  <c r="W804" i="1"/>
  <c r="W936" i="1"/>
  <c r="W735" i="1"/>
  <c r="W920" i="1"/>
  <c r="W1169" i="1"/>
  <c r="W523" i="1"/>
  <c r="W660" i="1"/>
  <c r="W1032" i="1"/>
  <c r="W617" i="1"/>
  <c r="W947" i="1"/>
  <c r="W538" i="1"/>
  <c r="W625" i="1"/>
  <c r="W797" i="1"/>
  <c r="W734" i="1"/>
  <c r="W544" i="1"/>
  <c r="W833" i="1"/>
  <c r="W452" i="1"/>
  <c r="W1212" i="1"/>
  <c r="W571" i="1"/>
  <c r="W1087" i="1"/>
  <c r="W1013" i="1"/>
  <c r="W514" i="1"/>
  <c r="W642" i="1"/>
  <c r="W513" i="1"/>
  <c r="W1072" i="1"/>
  <c r="W556" i="1"/>
  <c r="W975" i="1"/>
  <c r="W314" i="1"/>
  <c r="W805" i="1"/>
  <c r="W629" i="1"/>
  <c r="W377" i="1"/>
  <c r="W540" i="1"/>
  <c r="W710" i="1"/>
  <c r="W1145" i="1"/>
  <c r="W770" i="1"/>
  <c r="W304" i="1"/>
  <c r="W1228" i="1"/>
  <c r="W1024" i="1"/>
  <c r="W1000" i="1"/>
  <c r="W473" i="1"/>
  <c r="W802" i="1"/>
  <c r="W924" i="1"/>
  <c r="W1210" i="1"/>
  <c r="W542" i="1"/>
  <c r="W559" i="1"/>
  <c r="W596" i="1"/>
  <c r="W700" i="1"/>
  <c r="W816" i="1"/>
  <c r="W732" i="1"/>
  <c r="W1091" i="1"/>
  <c r="W728" i="1"/>
  <c r="W177" i="1"/>
  <c r="W1134" i="1"/>
  <c r="W1193" i="1"/>
  <c r="W644" i="1"/>
  <c r="W779" i="1"/>
  <c r="W1218" i="1"/>
  <c r="W1230" i="1"/>
  <c r="W716" i="1"/>
  <c r="W416" i="1"/>
  <c r="W1168" i="1"/>
  <c r="W1173" i="1"/>
  <c r="W353" i="1"/>
  <c r="W1205" i="1"/>
  <c r="W1101" i="1"/>
  <c r="W426" i="1"/>
  <c r="W460" i="1"/>
  <c r="W521" i="1"/>
  <c r="W677" i="1"/>
  <c r="W368" i="1"/>
  <c r="W1221" i="1"/>
  <c r="W512" i="1"/>
  <c r="W511" i="1"/>
  <c r="W359" i="1"/>
  <c r="W349" i="1"/>
  <c r="W357" i="1"/>
  <c r="W1066" i="1"/>
  <c r="W807" i="1"/>
  <c r="W1059" i="1"/>
  <c r="W549" i="1"/>
  <c r="W315" i="1"/>
  <c r="W1178" i="1"/>
  <c r="W813" i="1"/>
  <c r="W450" i="1"/>
  <c r="W1051" i="1"/>
  <c r="W1084" i="1"/>
  <c r="W584" i="1"/>
  <c r="W1094" i="1"/>
  <c r="W749" i="1"/>
  <c r="W627" i="1"/>
  <c r="W1113" i="1"/>
  <c r="W998" i="1"/>
  <c r="W1049" i="1"/>
  <c r="W1213" i="1"/>
  <c r="W1070" i="1"/>
  <c r="W1204" i="1"/>
  <c r="W690" i="1"/>
  <c r="W1150" i="1"/>
  <c r="W890" i="1"/>
  <c r="W944" i="1"/>
  <c r="W972" i="1"/>
  <c r="W760" i="1"/>
  <c r="W557" i="1"/>
  <c r="W819" i="1"/>
  <c r="W844" i="1"/>
  <c r="W244" i="1"/>
  <c r="W641" i="1"/>
  <c r="W530" i="1"/>
  <c r="W225" i="1"/>
  <c r="W864" i="1"/>
  <c r="W581" i="1"/>
  <c r="W633" i="1"/>
  <c r="W327" i="1"/>
  <c r="W943" i="1"/>
  <c r="W1219" i="1"/>
  <c r="W841" i="1"/>
  <c r="W381" i="1"/>
  <c r="W967" i="1"/>
  <c r="W1012" i="1"/>
  <c r="W772" i="1"/>
  <c r="W1186" i="1"/>
  <c r="W583" i="1"/>
  <c r="W619" i="1"/>
  <c r="W562" i="1"/>
  <c r="W478" i="1"/>
  <c r="W840" i="1"/>
  <c r="W741" i="1"/>
  <c r="W1188" i="1"/>
  <c r="W277" i="1"/>
  <c r="W1159" i="1"/>
  <c r="W979" i="1"/>
  <c r="W585" i="1"/>
  <c r="W929" i="1"/>
  <c r="W1011" i="1"/>
  <c r="W499" i="1"/>
  <c r="W599" i="1"/>
  <c r="W695" i="1"/>
  <c r="W364" i="1"/>
  <c r="W1018" i="1"/>
  <c r="W931" i="1"/>
  <c r="W697" i="1"/>
  <c r="W640" i="1"/>
  <c r="W558" i="1"/>
  <c r="W419" i="1"/>
  <c r="W983" i="1"/>
  <c r="W886" i="1"/>
  <c r="W247" i="1"/>
  <c r="W607" i="1"/>
  <c r="W790" i="1"/>
  <c r="W196" i="1"/>
  <c r="W877" i="1"/>
  <c r="W1142" i="1"/>
  <c r="W1090" i="1"/>
  <c r="W271" i="1"/>
  <c r="W405" i="1"/>
  <c r="W712" i="1"/>
  <c r="W853" i="1"/>
  <c r="W475" i="1"/>
  <c r="W1123" i="1"/>
  <c r="W1137" i="1"/>
  <c r="W812" i="1"/>
  <c r="W652" i="1"/>
  <c r="W224" i="1"/>
  <c r="W1185" i="1"/>
  <c r="W888" i="1"/>
  <c r="W477" i="1"/>
  <c r="W932" i="1"/>
  <c r="W821" i="1"/>
  <c r="W261" i="1"/>
  <c r="W1138" i="1"/>
  <c r="W380" i="1"/>
  <c r="W708" i="1"/>
  <c r="W940" i="1"/>
  <c r="W873" i="1"/>
  <c r="W572" i="1"/>
  <c r="W335" i="1"/>
  <c r="W771" i="1"/>
  <c r="W1048" i="1"/>
  <c r="W132" i="1"/>
  <c r="W699" i="1"/>
  <c r="W290" i="1"/>
  <c r="W260" i="1"/>
  <c r="W878" i="1"/>
  <c r="W603" i="1"/>
  <c r="W1030" i="1"/>
  <c r="W440" i="1"/>
  <c r="W733" i="1"/>
  <c r="W899" i="1"/>
  <c r="W668" i="1"/>
  <c r="W308" i="1"/>
  <c r="W487" i="1"/>
  <c r="W602" i="1"/>
  <c r="W798" i="1"/>
  <c r="W391" i="1"/>
  <c r="W1069" i="1"/>
  <c r="W703" i="1"/>
  <c r="W592" i="1"/>
  <c r="W767" i="1"/>
  <c r="W964" i="1"/>
  <c r="W449" i="1"/>
  <c r="W468" i="1"/>
  <c r="W1008" i="1"/>
  <c r="W463" i="1"/>
  <c r="W219" i="1"/>
  <c r="W438" i="1"/>
  <c r="W481" i="1"/>
  <c r="W776" i="1"/>
  <c r="W628" i="1"/>
  <c r="W1207" i="1"/>
  <c r="W547" i="1"/>
  <c r="W914" i="1"/>
  <c r="W704" i="1"/>
  <c r="W383" i="1"/>
  <c r="W682" i="1"/>
  <c r="W457" i="1"/>
  <c r="W458" i="1"/>
  <c r="W791" i="1"/>
  <c r="W418" i="1"/>
  <c r="W343" i="1"/>
  <c r="W118" i="1"/>
  <c r="W1010" i="1"/>
  <c r="W1226" i="1"/>
  <c r="W288" i="1"/>
  <c r="W860" i="1"/>
  <c r="W484" i="1"/>
  <c r="W316" i="1"/>
  <c r="W721" i="1"/>
  <c r="W951" i="1"/>
  <c r="W435" i="1"/>
  <c r="W283" i="1"/>
  <c r="W456" i="1"/>
  <c r="W803" i="1"/>
  <c r="W857" i="1"/>
  <c r="W745" i="1"/>
  <c r="W437" i="1"/>
  <c r="W567" i="1"/>
  <c r="W1216" i="1"/>
  <c r="W382" i="1"/>
  <c r="W837" i="1"/>
  <c r="W702" i="1"/>
  <c r="W369" i="1"/>
  <c r="W529" i="1"/>
  <c r="W736" i="1"/>
  <c r="W939" i="1"/>
  <c r="W406" i="1"/>
  <c r="W1194" i="1"/>
  <c r="W446" i="1"/>
  <c r="W236" i="1"/>
  <c r="W501" i="1"/>
  <c r="W909" i="1"/>
  <c r="W492" i="1"/>
  <c r="W688" i="1"/>
  <c r="W551" i="1"/>
  <c r="W680" i="1"/>
  <c r="W155" i="1"/>
  <c r="W248" i="1"/>
  <c r="W709" i="1"/>
  <c r="W347" i="1"/>
  <c r="W713" i="1"/>
  <c r="W976" i="1"/>
  <c r="W376" i="1"/>
  <c r="W1102" i="1"/>
  <c r="W279" i="1"/>
  <c r="W883" i="1"/>
  <c r="W1227" i="1"/>
  <c r="W925" i="1"/>
  <c r="W495" i="1"/>
  <c r="W541" i="1"/>
  <c r="W946" i="1"/>
  <c r="W252" i="1"/>
  <c r="W590" i="1"/>
  <c r="W520" i="1"/>
  <c r="W371" i="1"/>
  <c r="W1184" i="1"/>
  <c r="W762" i="1"/>
  <c r="W801" i="1"/>
  <c r="W313" i="1"/>
  <c r="W1067" i="1"/>
  <c r="W417" i="1"/>
  <c r="W445" i="1"/>
  <c r="W737" i="1"/>
  <c r="W750" i="1"/>
  <c r="W747" i="1"/>
  <c r="W479" i="1"/>
  <c r="W1100" i="1"/>
  <c r="W565" i="1"/>
  <c r="W387" i="1"/>
  <c r="W858" i="1"/>
  <c r="W411" i="1"/>
  <c r="W307" i="1"/>
  <c r="W623" i="1"/>
  <c r="W718" i="1"/>
  <c r="W740" i="1"/>
  <c r="W374" i="1"/>
  <c r="W223" i="1"/>
  <c r="W334" i="1"/>
  <c r="W861" i="1"/>
  <c r="W950" i="1"/>
  <c r="W303" i="1"/>
  <c r="W1124" i="1"/>
  <c r="W388" i="1"/>
  <c r="W139" i="1"/>
  <c r="W935" i="1"/>
  <c r="W526" i="1"/>
  <c r="W95" i="1"/>
  <c r="W575" i="1"/>
  <c r="W1143" i="1"/>
  <c r="W927" i="1"/>
  <c r="W658" i="1"/>
  <c r="W430" i="1"/>
  <c r="W955" i="1"/>
  <c r="W453" i="1"/>
  <c r="W425" i="1"/>
  <c r="W755" i="1"/>
  <c r="W799" i="1"/>
  <c r="W323" i="1"/>
  <c r="W543" i="1"/>
  <c r="W197" i="1"/>
  <c r="W828" i="1"/>
  <c r="W913" i="1"/>
  <c r="W379" i="1"/>
  <c r="W851" i="1"/>
  <c r="W966" i="1"/>
  <c r="W765" i="1"/>
  <c r="W93" i="1"/>
  <c r="W265" i="1"/>
  <c r="W94" i="1"/>
  <c r="W276" i="1"/>
  <c r="W656" i="1"/>
  <c r="W161" i="1"/>
  <c r="W112" i="1"/>
  <c r="W589" i="1"/>
  <c r="W442" i="1"/>
  <c r="W289" i="1"/>
  <c r="W881" i="1"/>
  <c r="W278" i="1"/>
  <c r="W179" i="1"/>
  <c r="W284" i="1"/>
  <c r="W895" i="1"/>
  <c r="W328" i="1"/>
  <c r="W298" i="1"/>
  <c r="W390" i="1"/>
  <c r="W250" i="1"/>
  <c r="W681" i="1"/>
  <c r="W531" i="1"/>
  <c r="W491" i="1"/>
  <c r="W162" i="1"/>
  <c r="W434" i="1"/>
  <c r="W285" i="1"/>
  <c r="W847" i="1"/>
  <c r="W324" i="1"/>
  <c r="W621" i="1"/>
  <c r="W508" i="1"/>
  <c r="W1016" i="1"/>
  <c r="W1086" i="1"/>
  <c r="W503" i="1"/>
  <c r="W320" i="1"/>
  <c r="W667" i="1"/>
  <c r="W238" i="1"/>
  <c r="W163" i="1"/>
  <c r="W811" i="1"/>
  <c r="W1044" i="1"/>
  <c r="W259" i="1"/>
  <c r="W443" i="1"/>
  <c r="W188" i="1"/>
  <c r="W1190" i="1"/>
  <c r="W942" i="1"/>
  <c r="W393" i="1"/>
  <c r="W134" i="1"/>
  <c r="W792" i="1"/>
  <c r="W350" i="1"/>
  <c r="W203" i="1"/>
  <c r="W618" i="1"/>
  <c r="W674" i="1"/>
  <c r="W386" i="1"/>
  <c r="W1089" i="1"/>
  <c r="W210" i="1"/>
  <c r="W678" i="1"/>
  <c r="W957" i="1"/>
  <c r="W654" i="1"/>
  <c r="W823" i="1"/>
  <c r="W375" i="1"/>
  <c r="W497" i="1"/>
  <c r="W836" i="1"/>
  <c r="W433" i="1"/>
  <c r="W432" i="1"/>
  <c r="W346" i="1"/>
  <c r="W610" i="1"/>
  <c r="W404" i="1"/>
  <c r="W795" i="1"/>
  <c r="W669" i="1"/>
  <c r="W441" i="1"/>
  <c r="W305" i="1"/>
  <c r="W1052" i="1"/>
  <c r="W507" i="1"/>
  <c r="W231" i="1"/>
  <c r="W655" i="1"/>
  <c r="W1141" i="1"/>
  <c r="W280" i="1"/>
  <c r="W218" i="1"/>
  <c r="W696" i="1"/>
  <c r="W528" i="1"/>
  <c r="W98" i="1"/>
  <c r="W1062" i="1"/>
  <c r="W516" i="1"/>
  <c r="W1146" i="1"/>
  <c r="W398" i="1"/>
  <c r="W825" i="1"/>
  <c r="W459" i="1"/>
  <c r="W637" i="1"/>
  <c r="W99" i="1"/>
  <c r="W1046" i="1"/>
  <c r="W97" i="1"/>
  <c r="W905" i="1"/>
  <c r="W775" i="1"/>
  <c r="W783" i="1"/>
  <c r="W329" i="1"/>
  <c r="W784" i="1"/>
  <c r="W502" i="1"/>
  <c r="W624" i="1"/>
  <c r="W612" i="1"/>
  <c r="W789" i="1"/>
  <c r="W1103" i="1"/>
  <c r="W591" i="1"/>
  <c r="W402" i="1"/>
  <c r="W352" i="1"/>
  <c r="W201" i="1"/>
  <c r="W237" i="1"/>
  <c r="W570" i="1"/>
  <c r="W498" i="1"/>
  <c r="W176" i="1"/>
  <c r="W742" i="1"/>
  <c r="W480" i="1"/>
  <c r="W370" i="1"/>
  <c r="W193" i="1"/>
  <c r="W965" i="1"/>
  <c r="W912" i="1"/>
  <c r="W76" i="1"/>
  <c r="W1201" i="1"/>
  <c r="W524" i="1"/>
  <c r="W138" i="1"/>
  <c r="W158" i="1"/>
  <c r="W483" i="1"/>
  <c r="W168" i="1"/>
  <c r="W465" i="1"/>
  <c r="W1203" i="1"/>
  <c r="W421" i="1"/>
  <c r="W1038" i="1"/>
  <c r="W817" i="1"/>
  <c r="W766" i="1"/>
  <c r="W207" i="1"/>
  <c r="W89" i="1"/>
  <c r="W880" i="1"/>
  <c r="W362" i="1"/>
  <c r="W494" i="1"/>
  <c r="W470" i="1"/>
  <c r="W1054" i="1"/>
  <c r="W166" i="1"/>
  <c r="W609" i="1"/>
  <c r="W143" i="1"/>
  <c r="W209" i="1"/>
  <c r="W41" i="1"/>
  <c r="W472" i="1"/>
  <c r="W257" i="1"/>
  <c r="W422" i="1"/>
  <c r="W211" i="1"/>
  <c r="W1215" i="1"/>
  <c r="W448" i="1"/>
  <c r="W639" i="1"/>
  <c r="W119" i="1"/>
  <c r="W568" i="1"/>
  <c r="W373" i="1"/>
  <c r="W235" i="1"/>
  <c r="W264" i="1"/>
  <c r="W875" i="1"/>
  <c r="W256" i="1"/>
  <c r="W208" i="1"/>
  <c r="W504" i="1"/>
  <c r="W872" i="1"/>
  <c r="W355" i="1"/>
  <c r="W1027" i="1"/>
  <c r="W240" i="1"/>
  <c r="W536" i="1"/>
  <c r="W171" i="1"/>
  <c r="W151" i="1"/>
  <c r="W251" i="1"/>
  <c r="W358" i="1"/>
  <c r="W400" i="1"/>
  <c r="W636" i="1"/>
  <c r="W838" i="1"/>
  <c r="W345" i="1"/>
  <c r="W66" i="1"/>
  <c r="W451" i="1"/>
  <c r="W1128" i="1"/>
  <c r="W189" i="1"/>
  <c r="W220" i="1"/>
  <c r="W427" i="1"/>
  <c r="W885" i="1"/>
  <c r="W258" i="1"/>
  <c r="W879" i="1"/>
  <c r="W467" i="1"/>
  <c r="W159" i="1"/>
  <c r="W956" i="1"/>
  <c r="W615" i="1"/>
  <c r="W126" i="1"/>
  <c r="W1198" i="1"/>
  <c r="W486" i="1"/>
  <c r="W412" i="1"/>
  <c r="W1061" i="1"/>
  <c r="W351" i="1"/>
  <c r="W428" i="1"/>
  <c r="W889" i="1"/>
  <c r="W963" i="1"/>
  <c r="W818" i="1"/>
  <c r="W286" i="1"/>
  <c r="W701" i="1"/>
  <c r="W756" i="1"/>
  <c r="W1009" i="1"/>
  <c r="W149" i="1"/>
  <c r="W919" i="1"/>
  <c r="W622" i="1"/>
  <c r="W595" i="1"/>
  <c r="W474" i="1"/>
  <c r="W989" i="1"/>
  <c r="W232" i="1"/>
  <c r="W114" i="1"/>
  <c r="W1076" i="1"/>
  <c r="W683" i="1"/>
  <c r="W229" i="1"/>
  <c r="W934" i="1"/>
  <c r="W105" i="1"/>
  <c r="W190" i="1"/>
  <c r="W515" i="1"/>
  <c r="W1162" i="1"/>
  <c r="W62" i="1"/>
  <c r="W205" i="1"/>
  <c r="W54" i="1"/>
  <c r="W578" i="1"/>
  <c r="W91" i="1"/>
  <c r="W312" i="1"/>
  <c r="W156" i="1"/>
  <c r="W647" i="1"/>
  <c r="W267" i="1"/>
  <c r="W187" i="1"/>
  <c r="W408" i="1"/>
  <c r="W356" i="1"/>
  <c r="W372" i="1"/>
  <c r="W897" i="1"/>
  <c r="W746" i="1"/>
  <c r="W1020" i="1"/>
  <c r="W763" i="1"/>
  <c r="W270" i="1"/>
  <c r="W587" i="1"/>
  <c r="W137" i="1"/>
  <c r="W978" i="1"/>
  <c r="W101" i="1"/>
  <c r="W341" i="1"/>
  <c r="W533" i="1"/>
  <c r="W758" i="1"/>
  <c r="W706" i="1"/>
  <c r="W330" i="1"/>
  <c r="W241" i="1"/>
  <c r="W293" i="1"/>
  <c r="W898" i="1"/>
  <c r="W552" i="1"/>
  <c r="W614" i="1"/>
  <c r="W490" i="1"/>
  <c r="W222" i="1"/>
  <c r="W606" i="1"/>
  <c r="W331" i="1"/>
  <c r="W295" i="1"/>
  <c r="W43" i="1"/>
  <c r="W90" i="1"/>
  <c r="W311" i="1"/>
  <c r="W192" i="1"/>
  <c r="W263" i="1"/>
  <c r="W730" i="1"/>
  <c r="W246" i="1"/>
  <c r="W1047" i="1"/>
  <c r="W698" i="1"/>
  <c r="W569" i="1"/>
  <c r="W107" i="1"/>
  <c r="W230" i="1"/>
  <c r="W186" i="1"/>
  <c r="W649" i="1"/>
  <c r="W424" i="1"/>
  <c r="W281" i="1"/>
  <c r="W1079" i="1"/>
  <c r="W414" i="1"/>
  <c r="W34" i="1"/>
  <c r="W1042" i="1"/>
  <c r="W638" i="1"/>
  <c r="W342" i="1"/>
  <c r="W133" i="1"/>
  <c r="W469" i="1"/>
  <c r="W367" i="1"/>
  <c r="W611" i="1"/>
  <c r="W827" i="1"/>
  <c r="W296" i="1"/>
  <c r="W71" i="1"/>
  <c r="W121" i="1"/>
  <c r="W361" i="1"/>
  <c r="W493" i="1"/>
  <c r="W84" i="1"/>
  <c r="W78" i="1"/>
  <c r="W378" i="1"/>
  <c r="W117" i="1"/>
  <c r="W39" i="1"/>
  <c r="W671" i="1"/>
  <c r="W1068" i="1"/>
  <c r="W407" i="1"/>
  <c r="W1166" i="1"/>
  <c r="W648" i="1"/>
  <c r="W673" i="1"/>
  <c r="W961" i="1"/>
  <c r="W444" i="1"/>
  <c r="W724" i="1"/>
  <c r="W57" i="1"/>
  <c r="W294" i="1"/>
  <c r="W466" i="1"/>
  <c r="W227" i="1"/>
  <c r="W69" i="1"/>
  <c r="W616" i="1"/>
  <c r="W525" i="1"/>
  <c r="W273" i="1"/>
  <c r="W142" i="1"/>
  <c r="W954" i="1"/>
  <c r="W82" i="1"/>
  <c r="W122" i="1"/>
  <c r="W787" i="1"/>
  <c r="W865" i="1"/>
  <c r="W366" i="1"/>
  <c r="W646" i="1"/>
  <c r="W843" i="1"/>
  <c r="W337" i="1"/>
  <c r="W136" i="1"/>
  <c r="W234" i="1"/>
  <c r="W50" i="1"/>
  <c r="W643" i="1"/>
  <c r="W535" i="1"/>
  <c r="W1022" i="1"/>
  <c r="W167" i="1"/>
  <c r="W757" i="1"/>
  <c r="W48" i="1"/>
  <c r="W268" i="1"/>
  <c r="W181" i="1"/>
  <c r="W500" i="1"/>
  <c r="W125" i="1"/>
  <c r="W987" i="1"/>
  <c r="W100" i="1"/>
  <c r="W325" i="1"/>
  <c r="W309" i="1"/>
  <c r="W275" i="1"/>
  <c r="W717" i="1"/>
  <c r="W850" i="1"/>
  <c r="W204" i="1"/>
  <c r="W120" i="1"/>
  <c r="W738" i="1"/>
  <c r="W85" i="1"/>
  <c r="W61" i="1"/>
  <c r="W104" i="1"/>
  <c r="W51" i="1"/>
  <c r="W157" i="1"/>
  <c r="W588" i="1"/>
  <c r="W291" i="1"/>
  <c r="W694" i="1"/>
  <c r="W80" i="1"/>
  <c r="W796" i="1"/>
  <c r="W793" i="1"/>
  <c r="W580" i="1"/>
  <c r="W60" i="1"/>
  <c r="W282" i="1"/>
  <c r="W174" i="1"/>
  <c r="W439" i="1"/>
  <c r="W115" i="1"/>
  <c r="W64" i="1"/>
  <c r="W534" i="1"/>
  <c r="W982" i="1"/>
  <c r="W140" i="1"/>
  <c r="W145" i="1"/>
  <c r="W216" i="1"/>
  <c r="W830" i="1"/>
  <c r="W577" i="1"/>
  <c r="W59" i="1"/>
  <c r="W128" i="1"/>
  <c r="W42" i="1"/>
  <c r="W354" i="1"/>
  <c r="W1140" i="1"/>
  <c r="W116" i="1"/>
  <c r="W102" i="1"/>
  <c r="W631" i="1"/>
  <c r="W420" i="1"/>
  <c r="W170" i="1"/>
  <c r="W199" i="1"/>
  <c r="W110" i="1"/>
  <c r="W333" i="1"/>
  <c r="W169" i="1"/>
  <c r="W182" i="1"/>
  <c r="W47" i="1"/>
  <c r="W249" i="1"/>
  <c r="W79" i="1"/>
  <c r="W707" i="1"/>
  <c r="W106" i="1"/>
  <c r="W206" i="1"/>
  <c r="W1023" i="1"/>
  <c r="W1064" i="1"/>
  <c r="W815" i="1"/>
  <c r="W56" i="1"/>
  <c r="W180" i="1"/>
  <c r="W144" i="1"/>
  <c r="W941" i="1"/>
  <c r="W720" i="1"/>
  <c r="W786" i="1"/>
  <c r="W45" i="1"/>
  <c r="W389" i="1"/>
  <c r="W723" i="1"/>
  <c r="W626" i="1"/>
  <c r="W561" i="1"/>
  <c r="W392" i="1"/>
  <c r="W715" i="1"/>
  <c r="W185" i="1"/>
  <c r="W471" i="1"/>
  <c r="W322" i="1"/>
  <c r="W537" i="1"/>
  <c r="W496" i="1"/>
  <c r="W489" i="1"/>
  <c r="W360" i="1"/>
  <c r="W242" i="1"/>
  <c r="W86" i="1"/>
  <c r="W1229" i="1"/>
  <c r="W546" i="1"/>
  <c r="W429" i="1"/>
  <c r="W436" i="1"/>
  <c r="W239" i="1"/>
  <c r="W548" i="1"/>
  <c r="W269" i="1"/>
  <c r="W685" i="1"/>
  <c r="W1148" i="1"/>
  <c r="W862" i="1"/>
  <c r="W153" i="1"/>
  <c r="W36" i="1"/>
  <c r="W1158" i="1"/>
  <c r="W764" i="1"/>
  <c r="W215" i="1"/>
  <c r="W226" i="1"/>
  <c r="W52" i="1"/>
  <c r="W214" i="1"/>
  <c r="W597" i="1"/>
  <c r="W152" i="1"/>
  <c r="W1181" i="1"/>
  <c r="W165" i="1"/>
  <c r="W659" i="1"/>
  <c r="W108" i="1"/>
  <c r="W35" i="1"/>
  <c r="W178" i="1"/>
  <c r="W124" i="1"/>
  <c r="W92" i="1"/>
  <c r="W336" i="1"/>
  <c r="W194" i="1"/>
  <c r="W147" i="1"/>
  <c r="W75" i="1"/>
  <c r="W266" i="1"/>
  <c r="W77" i="1"/>
  <c r="W594" i="1"/>
  <c r="W183" i="1"/>
  <c r="W338" i="1"/>
  <c r="W461" i="1"/>
  <c r="W146" i="1"/>
  <c r="W191" i="1"/>
  <c r="W65" i="1"/>
  <c r="W1202" i="1"/>
  <c r="W310" i="1"/>
  <c r="W810" i="1"/>
  <c r="W73" i="1"/>
  <c r="W154" i="1"/>
  <c r="W1220" i="1"/>
  <c r="W68" i="1"/>
  <c r="W212" i="1"/>
  <c r="W399" i="1"/>
  <c r="W348" i="1"/>
  <c r="W415" i="1"/>
  <c r="W299" i="1"/>
  <c r="W321" i="1"/>
  <c r="W38" i="1"/>
  <c r="W103" i="1"/>
  <c r="W554" i="1"/>
  <c r="W40" i="1"/>
  <c r="W127" i="1"/>
  <c r="W650" i="1"/>
  <c r="W1095" i="1"/>
  <c r="W300" i="1"/>
  <c r="W109" i="1"/>
  <c r="W58" i="1"/>
  <c r="W150" i="1"/>
  <c r="W83" i="1"/>
  <c r="W44" i="1"/>
  <c r="W340" i="1"/>
  <c r="W582" i="1"/>
  <c r="W37" i="1"/>
  <c r="W727" i="1"/>
  <c r="W363" i="1"/>
  <c r="W800" i="1"/>
  <c r="W711" i="1"/>
  <c r="W172" i="1"/>
  <c r="W693" i="1"/>
  <c r="W332" i="1"/>
  <c r="W318" i="1"/>
  <c r="W292" i="1"/>
  <c r="W600" i="1"/>
  <c r="W454" i="1"/>
  <c r="W55" i="1"/>
  <c r="W1206" i="1"/>
  <c r="W945" i="1"/>
  <c r="W663" i="1"/>
  <c r="W221" i="1"/>
  <c r="W532" i="1"/>
  <c r="W164" i="1"/>
  <c r="W233" i="1"/>
  <c r="W938" i="1"/>
  <c r="W141" i="1"/>
  <c r="W664" i="1"/>
  <c r="W72" i="1"/>
  <c r="W46" i="1"/>
  <c r="W67" i="1"/>
  <c r="W63" i="1"/>
  <c r="W198" i="1"/>
  <c r="W739" i="1"/>
  <c r="W49" i="1"/>
  <c r="W160" i="1"/>
  <c r="W517" i="1"/>
  <c r="W74" i="1"/>
  <c r="W326" i="1"/>
  <c r="W129" i="1"/>
  <c r="W135" i="1"/>
  <c r="W70" i="1"/>
  <c r="W253" i="1"/>
  <c r="W971" i="1"/>
  <c r="W217" i="1"/>
  <c r="W254" i="1"/>
  <c r="W729" i="1"/>
  <c r="W228" i="1"/>
  <c r="W200" i="1"/>
  <c r="W87" i="1"/>
  <c r="W148" i="1"/>
  <c r="W317" i="1"/>
  <c r="W962" i="1"/>
  <c r="W845" i="1"/>
  <c r="W510" i="1"/>
  <c r="W297" i="1"/>
  <c r="W794" i="1"/>
  <c r="W410" i="1"/>
  <c r="W130" i="1"/>
  <c r="W1083" i="1"/>
  <c r="W686" i="1"/>
  <c r="W113" i="1"/>
  <c r="W123" i="1"/>
  <c r="W344" i="1"/>
  <c r="W645" i="1"/>
  <c r="W111" i="1"/>
  <c r="W173" i="1"/>
  <c r="W175" i="1"/>
  <c r="W1107" i="1"/>
  <c r="W53" i="1"/>
  <c r="W319" i="1"/>
  <c r="W687" i="1"/>
  <c r="W485" i="1"/>
  <c r="W272" i="1"/>
  <c r="W213" i="1"/>
  <c r="W131" i="1"/>
  <c r="W505" i="1"/>
  <c r="W396" i="1"/>
  <c r="W774" i="1"/>
  <c r="W365" i="1"/>
  <c r="W423" i="1"/>
  <c r="W666" i="1"/>
  <c r="W781" i="1"/>
  <c r="W302" i="1"/>
  <c r="W255" i="1"/>
  <c r="W301" i="1"/>
  <c r="W184" i="1"/>
  <c r="W657" i="1"/>
  <c r="W96" i="1"/>
  <c r="W849" i="1"/>
  <c r="W243" i="1"/>
  <c r="W81" i="1"/>
  <c r="W1117" i="1"/>
  <c r="W262" i="1"/>
  <c r="W605" i="1"/>
  <c r="W88" i="1"/>
  <c r="W195" i="1"/>
  <c r="W287" i="1"/>
  <c r="W574" i="1"/>
  <c r="W866" i="1"/>
  <c r="W306" i="1"/>
  <c r="W994" i="1"/>
  <c r="W245" i="1"/>
  <c r="W882" i="1"/>
  <c r="W586" i="1"/>
  <c r="W385" i="1"/>
  <c r="W202" i="1"/>
  <c r="W902" i="1"/>
  <c r="W455" i="1"/>
  <c r="W1110" i="1"/>
  <c r="W462" i="1"/>
  <c r="W397" i="1"/>
  <c r="W824" i="1"/>
  <c r="W782" i="1"/>
  <c r="W1040" i="1"/>
  <c r="W339" i="1"/>
  <c r="W1187" i="1"/>
  <c r="W785" i="1"/>
  <c r="W409" i="1"/>
  <c r="W620" i="1"/>
  <c r="W431" i="1"/>
  <c r="W384" i="1"/>
  <c r="W835" i="1"/>
  <c r="W986" i="1"/>
  <c r="V1036" i="1"/>
  <c r="V916" i="1"/>
  <c r="V988" i="1"/>
  <c r="V1175" i="1"/>
  <c r="V1099" i="1"/>
  <c r="V1050" i="1"/>
  <c r="V1225" i="1"/>
  <c r="V1077" i="1"/>
  <c r="V1197" i="1"/>
  <c r="V1021" i="1"/>
  <c r="V1214" i="1"/>
  <c r="V948" i="1"/>
  <c r="V922" i="1"/>
  <c r="V1007" i="1"/>
  <c r="V1065" i="1"/>
  <c r="V893" i="1"/>
  <c r="V1028" i="1"/>
  <c r="V974" i="1"/>
  <c r="V1084" i="1"/>
  <c r="V1223" i="1"/>
  <c r="V887" i="1"/>
  <c r="V1060" i="1"/>
  <c r="V933" i="1"/>
  <c r="V1228" i="1"/>
  <c r="V1139" i="1"/>
  <c r="V992" i="1"/>
  <c r="V960" i="1"/>
  <c r="V1108" i="1"/>
  <c r="V1056" i="1"/>
  <c r="V1191" i="1"/>
  <c r="V959" i="1"/>
  <c r="V842" i="1"/>
  <c r="V1035" i="1"/>
  <c r="V894" i="1"/>
  <c r="V973" i="1"/>
  <c r="V920" i="1"/>
  <c r="V918" i="1"/>
  <c r="V1111" i="1"/>
  <c r="V1157" i="1"/>
  <c r="V990" i="1"/>
  <c r="V1164" i="1"/>
  <c r="V1003" i="1"/>
  <c r="V986" i="1"/>
  <c r="V1078" i="1"/>
  <c r="V1092" i="1"/>
  <c r="V1080" i="1"/>
  <c r="V1093" i="1"/>
  <c r="V1147" i="1"/>
  <c r="V1045" i="1"/>
  <c r="V1149" i="1"/>
  <c r="V970" i="1"/>
  <c r="V1074" i="1"/>
  <c r="V980" i="1"/>
  <c r="V1075" i="1"/>
  <c r="V981" i="1"/>
  <c r="V930" i="1"/>
  <c r="V991" i="1"/>
  <c r="V826" i="1"/>
  <c r="V1167" i="1"/>
  <c r="V903" i="1"/>
  <c r="V910" i="1"/>
  <c r="V822" i="1"/>
  <c r="V904" i="1"/>
  <c r="V1088" i="1"/>
  <c r="V874" i="1"/>
  <c r="V1199" i="1"/>
  <c r="V1058" i="1"/>
  <c r="V892" i="1"/>
  <c r="V832" i="1"/>
  <c r="V1230" i="1"/>
  <c r="V977" i="1"/>
  <c r="V769" i="1"/>
  <c r="V1172" i="1"/>
  <c r="V917" i="1"/>
  <c r="V856" i="1"/>
  <c r="V1019" i="1"/>
  <c r="V1196" i="1"/>
  <c r="V1104" i="1"/>
  <c r="V876" i="1"/>
  <c r="V820" i="1"/>
  <c r="V1109" i="1"/>
  <c r="V1224" i="1"/>
  <c r="V1122" i="1"/>
  <c r="V1177" i="1"/>
  <c r="V1125" i="1"/>
  <c r="V1192" i="1"/>
  <c r="V710" i="1"/>
  <c r="V855" i="1"/>
  <c r="V1026" i="1"/>
  <c r="V1151" i="1"/>
  <c r="V854" i="1"/>
  <c r="V1179" i="1"/>
  <c r="V778" i="1"/>
  <c r="V752" i="1"/>
  <c r="V1200" i="1"/>
  <c r="V814" i="1"/>
  <c r="V1182" i="1"/>
  <c r="V999" i="1"/>
  <c r="V1071" i="1"/>
  <c r="V809" i="1"/>
  <c r="V1105" i="1"/>
  <c r="V1154" i="1"/>
  <c r="V672" i="1"/>
  <c r="V923" i="1"/>
  <c r="V1218" i="1"/>
  <c r="V1116" i="1"/>
  <c r="V1195" i="1"/>
  <c r="V1087" i="1"/>
  <c r="V1073" i="1"/>
  <c r="V998" i="1"/>
  <c r="V1212" i="1"/>
  <c r="V1127" i="1"/>
  <c r="V1209" i="1"/>
  <c r="V1094" i="1"/>
  <c r="V915" i="1"/>
  <c r="V886" i="1"/>
  <c r="V1043" i="1"/>
  <c r="V1053" i="1"/>
  <c r="V1208" i="1"/>
  <c r="V1037" i="1"/>
  <c r="V1085" i="1"/>
  <c r="V813" i="1"/>
  <c r="V1170" i="1"/>
  <c r="V1194" i="1"/>
  <c r="V1112" i="1"/>
  <c r="V1227" i="1"/>
  <c r="V871" i="1"/>
  <c r="V952" i="1"/>
  <c r="V1178" i="1"/>
  <c r="V1210" i="1"/>
  <c r="V937" i="1"/>
  <c r="V1051" i="1"/>
  <c r="V926" i="1"/>
  <c r="V1129" i="1"/>
  <c r="V726" i="1"/>
  <c r="V692" i="1"/>
  <c r="V1144" i="1"/>
  <c r="V869" i="1"/>
  <c r="V870" i="1"/>
  <c r="V884" i="1"/>
  <c r="V1185" i="1"/>
  <c r="V1173" i="1"/>
  <c r="V921" i="1"/>
  <c r="V968" i="1"/>
  <c r="V1161" i="1"/>
  <c r="V675" i="1"/>
  <c r="V676" i="1"/>
  <c r="V1004" i="1"/>
  <c r="V997" i="1"/>
  <c r="V1133" i="1"/>
  <c r="V1041" i="1"/>
  <c r="V690" i="1"/>
  <c r="V630" i="1"/>
  <c r="V1145" i="1"/>
  <c r="V1222" i="1"/>
  <c r="V936" i="1"/>
  <c r="V1001" i="1"/>
  <c r="V1070" i="1"/>
  <c r="V1137" i="1"/>
  <c r="V958" i="1"/>
  <c r="V1186" i="1"/>
  <c r="V1130" i="1"/>
  <c r="V754" i="1"/>
  <c r="V613" i="1"/>
  <c r="V949" i="1"/>
  <c r="V1136" i="1"/>
  <c r="V846" i="1"/>
  <c r="V1160" i="1"/>
  <c r="V819" i="1"/>
  <c r="V768" i="1"/>
  <c r="V816" i="1"/>
  <c r="V864" i="1"/>
  <c r="V1097" i="1"/>
  <c r="V1059" i="1"/>
  <c r="V1082" i="1"/>
  <c r="V995" i="1"/>
  <c r="V996" i="1"/>
  <c r="V780" i="1"/>
  <c r="V1176" i="1"/>
  <c r="V806" i="1"/>
  <c r="V1086" i="1"/>
  <c r="V1226" i="1"/>
  <c r="V984" i="1"/>
  <c r="V773" i="1"/>
  <c r="V634" i="1"/>
  <c r="V560" i="1"/>
  <c r="V906" i="1"/>
  <c r="V1163" i="1"/>
  <c r="V743" i="1"/>
  <c r="V1155" i="1"/>
  <c r="V1101" i="1"/>
  <c r="V1168" i="1"/>
  <c r="V598" i="1"/>
  <c r="V1119" i="1"/>
  <c r="V907" i="1"/>
  <c r="V908" i="1"/>
  <c r="V735" i="1"/>
  <c r="V1000" i="1"/>
  <c r="V1115" i="1"/>
  <c r="V1114" i="1"/>
  <c r="V748" i="1"/>
  <c r="V579" i="1"/>
  <c r="V662" i="1"/>
  <c r="V947" i="1"/>
  <c r="V1189" i="1"/>
  <c r="V831" i="1"/>
  <c r="V1067" i="1"/>
  <c r="V788" i="1"/>
  <c r="V679" i="1"/>
  <c r="V585" i="1"/>
  <c r="V523" i="1"/>
  <c r="V721" i="1"/>
  <c r="V644" i="1"/>
  <c r="V1017" i="1"/>
  <c r="V753" i="1"/>
  <c r="V900" i="1"/>
  <c r="V700" i="1"/>
  <c r="V553" i="1"/>
  <c r="V563" i="1"/>
  <c r="V834" i="1"/>
  <c r="V728" i="1"/>
  <c r="V668" i="1"/>
  <c r="V1018" i="1"/>
  <c r="V852" i="1"/>
  <c r="V759" i="1"/>
  <c r="V805" i="1"/>
  <c r="V979" i="1"/>
  <c r="V573" i="1"/>
  <c r="V931" i="1"/>
  <c r="V760" i="1"/>
  <c r="V863" i="1"/>
  <c r="V847" i="1"/>
  <c r="V714" i="1"/>
  <c r="V976" i="1"/>
  <c r="V689" i="1"/>
  <c r="V1152" i="1"/>
  <c r="V734" i="1"/>
  <c r="V550" i="1"/>
  <c r="V1171" i="1"/>
  <c r="V1165" i="1"/>
  <c r="V716" i="1"/>
  <c r="V967" i="1"/>
  <c r="V635" i="1"/>
  <c r="V1069" i="1"/>
  <c r="V1032" i="1"/>
  <c r="V1184" i="1"/>
  <c r="V1153" i="1"/>
  <c r="V684" i="1"/>
  <c r="V556" i="1"/>
  <c r="V841" i="1"/>
  <c r="V1180" i="1"/>
  <c r="V779" i="1"/>
  <c r="V1039" i="1"/>
  <c r="V559" i="1"/>
  <c r="V1134" i="1"/>
  <c r="V857" i="1"/>
  <c r="V1072" i="1"/>
  <c r="V932" i="1"/>
  <c r="V969" i="1"/>
  <c r="V1020" i="1"/>
  <c r="V812" i="1"/>
  <c r="V713" i="1"/>
  <c r="V1015" i="1"/>
  <c r="V951" i="1"/>
  <c r="V1213" i="1"/>
  <c r="V599" i="1"/>
  <c r="V725" i="1"/>
  <c r="V840" i="1"/>
  <c r="V453" i="1"/>
  <c r="V807" i="1"/>
  <c r="V377" i="1"/>
  <c r="V627" i="1"/>
  <c r="V677" i="1"/>
  <c r="V891" i="1"/>
  <c r="V943" i="1"/>
  <c r="V1030" i="1"/>
  <c r="V519" i="1"/>
  <c r="V551" i="1"/>
  <c r="V1207" i="1"/>
  <c r="V860" i="1"/>
  <c r="V1174" i="1"/>
  <c r="V617" i="1"/>
  <c r="V877" i="1"/>
  <c r="V1135" i="1"/>
  <c r="V655" i="1"/>
  <c r="V529" i="1"/>
  <c r="V983" i="1"/>
  <c r="V642" i="1"/>
  <c r="V1006" i="1"/>
  <c r="V413" i="1"/>
  <c r="V911" i="1"/>
  <c r="V482" i="1"/>
  <c r="V1013" i="1"/>
  <c r="V722" i="1"/>
  <c r="V608" i="1"/>
  <c r="V939" i="1"/>
  <c r="V447" i="1"/>
  <c r="V1183" i="1"/>
  <c r="V899" i="1"/>
  <c r="V555" i="1"/>
  <c r="V596" i="1"/>
  <c r="V463" i="1"/>
  <c r="V703" i="1"/>
  <c r="V464" i="1"/>
  <c r="V1063" i="1"/>
  <c r="V858" i="1"/>
  <c r="V719" i="1"/>
  <c r="V527" i="1"/>
  <c r="V530" i="1"/>
  <c r="V792" i="1"/>
  <c r="V925" i="1"/>
  <c r="V1055" i="1"/>
  <c r="V514" i="1"/>
  <c r="V368" i="1"/>
  <c r="V1142" i="1"/>
  <c r="V1010" i="1"/>
  <c r="V732" i="1"/>
  <c r="V395" i="1"/>
  <c r="V1081" i="1"/>
  <c r="V744" i="1"/>
  <c r="V629" i="1"/>
  <c r="V383" i="1"/>
  <c r="V1014" i="1"/>
  <c r="V909" i="1"/>
  <c r="V544" i="1"/>
  <c r="V492" i="1"/>
  <c r="V513" i="1"/>
  <c r="V456" i="1"/>
  <c r="V667" i="1"/>
  <c r="V761" i="1"/>
  <c r="V374" i="1"/>
  <c r="V868" i="1"/>
  <c r="V610" i="1"/>
  <c r="V547" i="1"/>
  <c r="V401" i="1"/>
  <c r="V1113" i="1"/>
  <c r="V391" i="1"/>
  <c r="V405" i="1"/>
  <c r="V1143" i="1"/>
  <c r="V426" i="1"/>
  <c r="V1211" i="1"/>
  <c r="V833" i="1"/>
  <c r="V452" i="1"/>
  <c r="V1217" i="1"/>
  <c r="V484" i="1"/>
  <c r="V450" i="1"/>
  <c r="V478" i="1"/>
  <c r="V1052" i="1"/>
  <c r="V1193" i="1"/>
  <c r="V808" i="1"/>
  <c r="V633" i="1"/>
  <c r="V878" i="1"/>
  <c r="V566" i="1"/>
  <c r="V565" i="1"/>
  <c r="V705" i="1"/>
  <c r="V583" i="1"/>
  <c r="V804" i="1"/>
  <c r="V418" i="1"/>
  <c r="V695" i="1"/>
  <c r="V1132" i="1"/>
  <c r="V477" i="1"/>
  <c r="V539" i="1"/>
  <c r="V581" i="1"/>
  <c r="V802" i="1"/>
  <c r="V1096" i="1"/>
  <c r="V1162" i="1"/>
  <c r="V741" i="1"/>
  <c r="V691" i="1"/>
  <c r="V394" i="1"/>
  <c r="V572" i="1"/>
  <c r="V1091" i="1"/>
  <c r="V619" i="1"/>
  <c r="V316" i="1"/>
  <c r="V696" i="1"/>
  <c r="V879" i="1"/>
  <c r="V1048" i="1"/>
  <c r="V487" i="1"/>
  <c r="V380" i="1"/>
  <c r="V522" i="1"/>
  <c r="V457" i="1"/>
  <c r="V458" i="1"/>
  <c r="V767" i="1"/>
  <c r="V1120" i="1"/>
  <c r="V592" i="1"/>
  <c r="V750" i="1"/>
  <c r="V438" i="1"/>
  <c r="V1126" i="1"/>
  <c r="V476" i="1"/>
  <c r="V315" i="1"/>
  <c r="V944" i="1"/>
  <c r="V704" i="1"/>
  <c r="V747" i="1"/>
  <c r="V618" i="1"/>
  <c r="V1206" i="1"/>
  <c r="V603" i="1"/>
  <c r="V542" i="1"/>
  <c r="V1012" i="1"/>
  <c r="V1044" i="1"/>
  <c r="V867" i="1"/>
  <c r="V801" i="1"/>
  <c r="V425" i="1"/>
  <c r="V411" i="1"/>
  <c r="V601" i="1"/>
  <c r="V488" i="1"/>
  <c r="V1103" i="1"/>
  <c r="V699" i="1"/>
  <c r="V966" i="1"/>
  <c r="V451" i="1"/>
  <c r="V652" i="1"/>
  <c r="V697" i="1"/>
  <c r="V284" i="1"/>
  <c r="V1221" i="1"/>
  <c r="V562" i="1"/>
  <c r="V1023" i="1"/>
  <c r="V965" i="1"/>
  <c r="V682" i="1"/>
  <c r="V1049" i="1"/>
  <c r="V914" i="1"/>
  <c r="V1141" i="1"/>
  <c r="V776" i="1"/>
  <c r="V390" i="1"/>
  <c r="V481" i="1"/>
  <c r="V702" i="1"/>
  <c r="V762" i="1"/>
  <c r="V670" i="1"/>
  <c r="V584" i="1"/>
  <c r="V417" i="1"/>
  <c r="V460" i="1"/>
  <c r="V593" i="1"/>
  <c r="V387" i="1"/>
  <c r="V1198" i="1"/>
  <c r="V912" i="1"/>
  <c r="V1156" i="1"/>
  <c r="V1098" i="1"/>
  <c r="V888" i="1"/>
  <c r="V446" i="1"/>
  <c r="V927" i="1"/>
  <c r="V625" i="1"/>
  <c r="V314" i="1"/>
  <c r="V898" i="1"/>
  <c r="V641" i="1"/>
  <c r="V709" i="1"/>
  <c r="V853" i="1"/>
  <c r="V957" i="1"/>
  <c r="V491" i="1"/>
  <c r="V398" i="1"/>
  <c r="V770" i="1"/>
  <c r="V643" i="1"/>
  <c r="V651" i="1"/>
  <c r="V1046" i="1"/>
  <c r="V755" i="1"/>
  <c r="V528" i="1"/>
  <c r="V688" i="1"/>
  <c r="V881" i="1"/>
  <c r="V506" i="1"/>
  <c r="V445" i="1"/>
  <c r="V419" i="1"/>
  <c r="V1005" i="1"/>
  <c r="V681" i="1"/>
  <c r="V531" i="1"/>
  <c r="V435" i="1"/>
  <c r="V437" i="1"/>
  <c r="V924" i="1"/>
  <c r="V975" i="1"/>
  <c r="V708" i="1"/>
  <c r="V557" i="1"/>
  <c r="V376" i="1"/>
  <c r="V382" i="1"/>
  <c r="V1138" i="1"/>
  <c r="V751" i="1"/>
  <c r="V369" i="1"/>
  <c r="V632" i="1"/>
  <c r="V373" i="1"/>
  <c r="V558" i="1"/>
  <c r="V1002" i="1"/>
  <c r="V533" i="1"/>
  <c r="V795" i="1"/>
  <c r="V449" i="1"/>
  <c r="V1102" i="1"/>
  <c r="V304" i="1"/>
  <c r="V954" i="1"/>
  <c r="V873" i="1"/>
  <c r="V289" i="1"/>
  <c r="V861" i="1"/>
  <c r="V1146" i="1"/>
  <c r="V1190" i="1"/>
  <c r="V518" i="1"/>
  <c r="V817" i="1"/>
  <c r="V1106" i="1"/>
  <c r="V238" i="1"/>
  <c r="V524" i="1"/>
  <c r="V351" i="1"/>
  <c r="V772" i="1"/>
  <c r="V628" i="1"/>
  <c r="V261" i="1"/>
  <c r="V416" i="1"/>
  <c r="V412" i="1"/>
  <c r="V290" i="1"/>
  <c r="V829" i="1"/>
  <c r="V279" i="1"/>
  <c r="V567" i="1"/>
  <c r="V509" i="1"/>
  <c r="V1216" i="1"/>
  <c r="V503" i="1"/>
  <c r="V647" i="1"/>
  <c r="V260" i="1"/>
  <c r="V280" i="1"/>
  <c r="V712" i="1"/>
  <c r="V736" i="1"/>
  <c r="V844" i="1"/>
  <c r="V414" i="1"/>
  <c r="V929" i="1"/>
  <c r="V1024" i="1"/>
  <c r="V283" i="1"/>
  <c r="V940" i="1"/>
  <c r="V928" i="1"/>
  <c r="V329" i="1"/>
  <c r="V483" i="1"/>
  <c r="V1123" i="1"/>
  <c r="V375" i="1"/>
  <c r="V543" i="1"/>
  <c r="V901" i="1"/>
  <c r="V313" i="1"/>
  <c r="V196" i="1"/>
  <c r="V406" i="1"/>
  <c r="V264" i="1"/>
  <c r="V880" i="1"/>
  <c r="V935" i="1"/>
  <c r="V1025" i="1"/>
  <c r="V624" i="1"/>
  <c r="V777" i="1"/>
  <c r="V1118" i="1"/>
  <c r="V656" i="1"/>
  <c r="V680" i="1"/>
  <c r="V896" i="1"/>
  <c r="V875" i="1"/>
  <c r="V305" i="1"/>
  <c r="V357" i="1"/>
  <c r="V661" i="1"/>
  <c r="V1140" i="1"/>
  <c r="V733" i="1"/>
  <c r="V355" i="1"/>
  <c r="V219" i="1"/>
  <c r="V276" i="1"/>
  <c r="V352" i="1"/>
  <c r="V883" i="1"/>
  <c r="V511" i="1"/>
  <c r="V564" i="1"/>
  <c r="V371" i="1"/>
  <c r="V1131" i="1"/>
  <c r="V1062" i="1"/>
  <c r="V494" i="1"/>
  <c r="V501" i="1"/>
  <c r="V718" i="1"/>
  <c r="V1054" i="1"/>
  <c r="V897" i="1"/>
  <c r="V640" i="1"/>
  <c r="V985" i="1"/>
  <c r="V236" i="1"/>
  <c r="V430" i="1"/>
  <c r="V241" i="1"/>
  <c r="V607" i="1"/>
  <c r="V274" i="1"/>
  <c r="V771" i="1"/>
  <c r="V575" i="1"/>
  <c r="V654" i="1"/>
  <c r="V674" i="1"/>
  <c r="V838" i="1"/>
  <c r="V526" i="1"/>
  <c r="V499" i="1"/>
  <c r="V237" i="1"/>
  <c r="V176" i="1"/>
  <c r="V1031" i="1"/>
  <c r="V327" i="1"/>
  <c r="V334" i="1"/>
  <c r="V622" i="1"/>
  <c r="V244" i="1"/>
  <c r="V475" i="1"/>
  <c r="V746" i="1"/>
  <c r="V433" i="1"/>
  <c r="V403" i="1"/>
  <c r="V256" i="1"/>
  <c r="V1068" i="1"/>
  <c r="V890" i="1"/>
  <c r="V508" i="1"/>
  <c r="V600" i="1"/>
  <c r="V540" i="1"/>
  <c r="V576" i="1"/>
  <c r="V821" i="1"/>
  <c r="V612" i="1"/>
  <c r="V346" i="1"/>
  <c r="V623" i="1"/>
  <c r="V784" i="1"/>
  <c r="V541" i="1"/>
  <c r="V248" i="1"/>
  <c r="V434" i="1"/>
  <c r="V343" i="1"/>
  <c r="V479" i="1"/>
  <c r="V203" i="1"/>
  <c r="V950" i="1"/>
  <c r="V658" i="1"/>
  <c r="V790" i="1"/>
  <c r="V749" i="1"/>
  <c r="V963" i="1"/>
  <c r="V836" i="1"/>
  <c r="V166" i="1"/>
  <c r="V701" i="1"/>
  <c r="V545" i="1"/>
  <c r="V486" i="1"/>
  <c r="V132" i="1"/>
  <c r="V379" i="1"/>
  <c r="V516" i="1"/>
  <c r="V179" i="1"/>
  <c r="V521" i="1"/>
  <c r="V205" i="1"/>
  <c r="V1042" i="1"/>
  <c r="V265" i="1"/>
  <c r="V224" i="1"/>
  <c r="V611" i="1"/>
  <c r="V536" i="1"/>
  <c r="V427" i="1"/>
  <c r="V552" i="1"/>
  <c r="V512" i="1"/>
  <c r="V1159" i="1"/>
  <c r="V637" i="1"/>
  <c r="V580" i="1"/>
  <c r="V1203" i="1"/>
  <c r="V366" i="1"/>
  <c r="V648" i="1"/>
  <c r="V919" i="1"/>
  <c r="V161" i="1"/>
  <c r="V370" i="1"/>
  <c r="V210" i="1"/>
  <c r="V472" i="1"/>
  <c r="V271" i="1"/>
  <c r="V872" i="1"/>
  <c r="V134" i="1"/>
  <c r="V1034" i="1"/>
  <c r="V143" i="1"/>
  <c r="V578" i="1"/>
  <c r="V347" i="1"/>
  <c r="V350" i="1"/>
  <c r="V673" i="1"/>
  <c r="V799" i="1"/>
  <c r="V480" i="1"/>
  <c r="V885" i="1"/>
  <c r="V320" i="1"/>
  <c r="V595" i="1"/>
  <c r="V962" i="1"/>
  <c r="V843" i="1"/>
  <c r="V341" i="1"/>
  <c r="V197" i="1"/>
  <c r="V138" i="1"/>
  <c r="V972" i="1"/>
  <c r="V850" i="1"/>
  <c r="V422" i="1"/>
  <c r="V432" i="1"/>
  <c r="V389" i="1"/>
  <c r="V538" i="1"/>
  <c r="V1011" i="1"/>
  <c r="V796" i="1"/>
  <c r="V638" i="1"/>
  <c r="V502" i="1"/>
  <c r="V837" i="1"/>
  <c r="V163" i="1"/>
  <c r="V388" i="1"/>
  <c r="V119" i="1"/>
  <c r="V659" i="1"/>
  <c r="V250" i="1"/>
  <c r="V571" i="1"/>
  <c r="V497" i="1"/>
  <c r="V359" i="1"/>
  <c r="V496" i="1"/>
  <c r="V312" i="1"/>
  <c r="V1100" i="1"/>
  <c r="V504" i="1"/>
  <c r="V1016" i="1"/>
  <c r="V582" i="1"/>
  <c r="V789" i="1"/>
  <c r="V229" i="1"/>
  <c r="V252" i="1"/>
  <c r="V168" i="1"/>
  <c r="V89" i="1"/>
  <c r="V740" i="1"/>
  <c r="V678" i="1"/>
  <c r="V569" i="1"/>
  <c r="V298" i="1"/>
  <c r="V742" i="1"/>
  <c r="V859" i="1"/>
  <c r="V1150" i="1"/>
  <c r="V139" i="1"/>
  <c r="V209" i="1"/>
  <c r="V1166" i="1"/>
  <c r="V439" i="1"/>
  <c r="V671" i="1"/>
  <c r="V787" i="1"/>
  <c r="V839" i="1"/>
  <c r="V1022" i="1"/>
  <c r="V222" i="1"/>
  <c r="V827" i="1"/>
  <c r="V588" i="1"/>
  <c r="V811" i="1"/>
  <c r="V800" i="1"/>
  <c r="V159" i="1"/>
  <c r="V946" i="1"/>
  <c r="V737" i="1"/>
  <c r="V278" i="1"/>
  <c r="V137" i="1"/>
  <c r="V465" i="1"/>
  <c r="V189" i="1"/>
  <c r="V468" i="1"/>
  <c r="V323" i="1"/>
  <c r="V386" i="1"/>
  <c r="V765" i="1"/>
  <c r="V211" i="1"/>
  <c r="V177" i="1"/>
  <c r="V151" i="1"/>
  <c r="V589" i="1"/>
  <c r="V372" i="1"/>
  <c r="V955" i="1"/>
  <c r="V520" i="1"/>
  <c r="V470" i="1"/>
  <c r="V105" i="1"/>
  <c r="V367" i="1"/>
  <c r="V149" i="1"/>
  <c r="V764" i="1"/>
  <c r="V1169" i="1"/>
  <c r="V444" i="1"/>
  <c r="V98" i="1"/>
  <c r="V288" i="1"/>
  <c r="V275" i="1"/>
  <c r="V615" i="1"/>
  <c r="V162" i="1"/>
  <c r="V895" i="1"/>
  <c r="V186" i="1"/>
  <c r="V208" i="1"/>
  <c r="V263" i="1"/>
  <c r="V331" i="1"/>
  <c r="V362" i="1"/>
  <c r="V495" i="1"/>
  <c r="V335" i="1"/>
  <c r="V1215" i="1"/>
  <c r="V358" i="1"/>
  <c r="V156" i="1"/>
  <c r="V549" i="1"/>
  <c r="V188" i="1"/>
  <c r="V308" i="1"/>
  <c r="V828" i="1"/>
  <c r="V1038" i="1"/>
  <c r="V328" i="1"/>
  <c r="V281" i="1"/>
  <c r="V1090" i="1"/>
  <c r="V621" i="1"/>
  <c r="V1033" i="1"/>
  <c r="V961" i="1"/>
  <c r="V942" i="1"/>
  <c r="V100" i="1"/>
  <c r="V226" i="1"/>
  <c r="V223" i="1"/>
  <c r="V905" i="1"/>
  <c r="V330" i="1"/>
  <c r="V251" i="1"/>
  <c r="V989" i="1"/>
  <c r="V259" i="1"/>
  <c r="V400" i="1"/>
  <c r="V424" i="1"/>
  <c r="V311" i="1"/>
  <c r="V190" i="1"/>
  <c r="V717" i="1"/>
  <c r="V216" i="1"/>
  <c r="V1027" i="1"/>
  <c r="V247" i="1"/>
  <c r="V1066" i="1"/>
  <c r="V93" i="1"/>
  <c r="V440" i="1"/>
  <c r="V745" i="1"/>
  <c r="V978" i="1"/>
  <c r="V1009" i="1"/>
  <c r="V448" i="1"/>
  <c r="V402" i="1"/>
  <c r="V282" i="1"/>
  <c r="V507" i="1"/>
  <c r="V934" i="1"/>
  <c r="V192" i="1"/>
  <c r="V590" i="1"/>
  <c r="V353" i="1"/>
  <c r="V1029" i="1"/>
  <c r="V953" i="1"/>
  <c r="V66" i="1"/>
  <c r="V493" i="1"/>
  <c r="V342" i="1"/>
  <c r="V913" i="1"/>
  <c r="V803" i="1"/>
  <c r="V187" i="1"/>
  <c r="V91" i="1"/>
  <c r="V420" i="1"/>
  <c r="V404" i="1"/>
  <c r="V694" i="1"/>
  <c r="V515" i="1"/>
  <c r="V731" i="1"/>
  <c r="V295" i="1"/>
  <c r="V296" i="1"/>
  <c r="V609" i="1"/>
  <c r="V474" i="1"/>
  <c r="V310" i="1"/>
  <c r="V122" i="1"/>
  <c r="V120" i="1"/>
  <c r="V225" i="1"/>
  <c r="V471" i="1"/>
  <c r="V115" i="1"/>
  <c r="V200" i="1"/>
  <c r="V230" i="1"/>
  <c r="V90" i="1"/>
  <c r="V206" i="1"/>
  <c r="V797" i="1"/>
  <c r="V1121" i="1"/>
  <c r="V815" i="1"/>
  <c r="V127" i="1"/>
  <c r="V325" i="1"/>
  <c r="V324" i="1"/>
  <c r="V294" i="1"/>
  <c r="V577" i="1"/>
  <c r="V393" i="1"/>
  <c r="V1079" i="1"/>
  <c r="V95" i="1"/>
  <c r="V277" i="1"/>
  <c r="V215" i="1"/>
  <c r="V616" i="1"/>
  <c r="V82" i="1"/>
  <c r="V231" i="1"/>
  <c r="V660" i="1"/>
  <c r="V71" i="1"/>
  <c r="V537" i="1"/>
  <c r="V775" i="1"/>
  <c r="V791" i="1"/>
  <c r="V1076" i="1"/>
  <c r="V140" i="1"/>
  <c r="V62" i="1"/>
  <c r="V297" i="1"/>
  <c r="V535" i="1"/>
  <c r="V758" i="1"/>
  <c r="V258" i="1"/>
  <c r="V116" i="1"/>
  <c r="V234" i="1"/>
  <c r="V798" i="1"/>
  <c r="V548" i="1"/>
  <c r="V232" i="1"/>
  <c r="V99" i="1"/>
  <c r="V266" i="1"/>
  <c r="V227" i="1"/>
  <c r="V1219" i="1"/>
  <c r="V604" i="1"/>
  <c r="V107" i="1"/>
  <c r="V361" i="1"/>
  <c r="V270" i="1"/>
  <c r="V665" i="1"/>
  <c r="V407" i="1"/>
  <c r="V602" i="1"/>
  <c r="V408" i="1"/>
  <c r="V167" i="1"/>
  <c r="V299" i="1"/>
  <c r="V128" i="1"/>
  <c r="V337" i="1"/>
  <c r="V500" i="1"/>
  <c r="V54" i="1"/>
  <c r="V1047" i="1"/>
  <c r="V240" i="1"/>
  <c r="V591" i="1"/>
  <c r="V154" i="1"/>
  <c r="V698" i="1"/>
  <c r="V345" i="1"/>
  <c r="V64" i="1"/>
  <c r="V1205" i="1"/>
  <c r="V158" i="1"/>
  <c r="V340" i="1"/>
  <c r="V268" i="1"/>
  <c r="V86" i="1"/>
  <c r="V48" i="1"/>
  <c r="V201" i="1"/>
  <c r="V300" i="1"/>
  <c r="V76" i="1"/>
  <c r="V1057" i="1"/>
  <c r="V182" i="1"/>
  <c r="V108" i="1"/>
  <c r="V889" i="1"/>
  <c r="V348" i="1"/>
  <c r="V79" i="1"/>
  <c r="V126" i="1"/>
  <c r="V218" i="1"/>
  <c r="V307" i="1"/>
  <c r="V239" i="1"/>
  <c r="V727" i="1"/>
  <c r="V322" i="1"/>
  <c r="V214" i="1"/>
  <c r="V121" i="1"/>
  <c r="V153" i="1"/>
  <c r="V441" i="1"/>
  <c r="V333" i="1"/>
  <c r="V60" i="1"/>
  <c r="V653" i="1"/>
  <c r="V825" i="1"/>
  <c r="V724" i="1"/>
  <c r="V254" i="1"/>
  <c r="V145" i="1"/>
  <c r="V941" i="1"/>
  <c r="V180" i="1"/>
  <c r="V249" i="1"/>
  <c r="V220" i="1"/>
  <c r="V469" i="1"/>
  <c r="V114" i="1"/>
  <c r="V286" i="1"/>
  <c r="V421" i="1"/>
  <c r="V44" i="1"/>
  <c r="V956" i="1"/>
  <c r="V178" i="1"/>
  <c r="V61" i="1"/>
  <c r="V170" i="1"/>
  <c r="V165" i="1"/>
  <c r="V363" i="1"/>
  <c r="V332" i="1"/>
  <c r="V57" i="1"/>
  <c r="V94" i="1"/>
  <c r="V136" i="1"/>
  <c r="V473" i="1"/>
  <c r="V92" i="1"/>
  <c r="V171" i="1"/>
  <c r="V155" i="1"/>
  <c r="V106" i="1"/>
  <c r="V490" i="1"/>
  <c r="V303" i="1"/>
  <c r="V349" i="1"/>
  <c r="V130" i="1"/>
  <c r="V69" i="1"/>
  <c r="V454" i="1"/>
  <c r="V781" i="1"/>
  <c r="V104" i="1"/>
  <c r="V574" i="1"/>
  <c r="V174" i="1"/>
  <c r="V1124" i="1"/>
  <c r="V142" i="1"/>
  <c r="V631" i="1"/>
  <c r="V59" i="1"/>
  <c r="V639" i="1"/>
  <c r="V360" i="1"/>
  <c r="V570" i="1"/>
  <c r="V65" i="1"/>
  <c r="V112" i="1"/>
  <c r="V181" i="1"/>
  <c r="V124" i="1"/>
  <c r="V309" i="1"/>
  <c r="V364" i="1"/>
  <c r="V396" i="1"/>
  <c r="V84" i="1"/>
  <c r="V51" i="1"/>
  <c r="V730" i="1"/>
  <c r="V235" i="1"/>
  <c r="V964" i="1"/>
  <c r="V141" i="1"/>
  <c r="V649" i="1"/>
  <c r="V135" i="1"/>
  <c r="V267" i="1"/>
  <c r="V336" i="1"/>
  <c r="V117" i="1"/>
  <c r="V125" i="1"/>
  <c r="V38" i="1"/>
  <c r="V83" i="1"/>
  <c r="V467" i="1"/>
  <c r="V685" i="1"/>
  <c r="V103" i="1"/>
  <c r="V669" i="1"/>
  <c r="V729" i="1"/>
  <c r="V147" i="1"/>
  <c r="V466" i="1"/>
  <c r="V436" i="1"/>
  <c r="V1089" i="1"/>
  <c r="V319" i="1"/>
  <c r="V356" i="1"/>
  <c r="V36" i="1"/>
  <c r="V72" i="1"/>
  <c r="V987" i="1"/>
  <c r="V78" i="1"/>
  <c r="V45" i="1"/>
  <c r="V110" i="1"/>
  <c r="V42" i="1"/>
  <c r="V199" i="1"/>
  <c r="V118" i="1"/>
  <c r="V292" i="1"/>
  <c r="V131" i="1"/>
  <c r="V510" i="1"/>
  <c r="V1188" i="1"/>
  <c r="V85" i="1"/>
  <c r="V212" i="1"/>
  <c r="V41" i="1"/>
  <c r="V88" i="1"/>
  <c r="V56" i="1"/>
  <c r="V738" i="1"/>
  <c r="V818" i="1"/>
  <c r="V193" i="1"/>
  <c r="V318" i="1"/>
  <c r="V75" i="1"/>
  <c r="V50" i="1"/>
  <c r="V204" i="1"/>
  <c r="V344" i="1"/>
  <c r="V285" i="1"/>
  <c r="V461" i="1"/>
  <c r="V554" i="1"/>
  <c r="V53" i="1"/>
  <c r="V73" i="1"/>
  <c r="V273" i="1"/>
  <c r="V381" i="1"/>
  <c r="V1204" i="1"/>
  <c r="V848" i="1"/>
  <c r="V146" i="1"/>
  <c r="V55" i="1"/>
  <c r="V35" i="1"/>
  <c r="V157" i="1"/>
  <c r="V43" i="1"/>
  <c r="V561" i="1"/>
  <c r="V148" i="1"/>
  <c r="V663" i="1"/>
  <c r="V757" i="1"/>
  <c r="V255" i="1"/>
  <c r="V385" i="1"/>
  <c r="V63" i="1"/>
  <c r="V823" i="1"/>
  <c r="V525" i="1"/>
  <c r="V68" i="1"/>
  <c r="V378" i="1"/>
  <c r="V243" i="1"/>
  <c r="V175" i="1"/>
  <c r="V253" i="1"/>
  <c r="V233" i="1"/>
  <c r="V49" i="1"/>
  <c r="V37" i="1"/>
  <c r="V783" i="1"/>
  <c r="V766" i="1"/>
  <c r="V293" i="1"/>
  <c r="V302" i="1"/>
  <c r="V207" i="1"/>
  <c r="V614" i="1"/>
  <c r="V202" i="1"/>
  <c r="V1201" i="1"/>
  <c r="V1128" i="1"/>
  <c r="V101" i="1"/>
  <c r="V242" i="1"/>
  <c r="V720" i="1"/>
  <c r="V707" i="1"/>
  <c r="V498" i="1"/>
  <c r="V97" i="1"/>
  <c r="V862" i="1"/>
  <c r="V52" i="1"/>
  <c r="V763" i="1"/>
  <c r="V228" i="1"/>
  <c r="V198" i="1"/>
  <c r="V113" i="1"/>
  <c r="V39" i="1"/>
  <c r="V111" i="1"/>
  <c r="V40" i="1"/>
  <c r="V262" i="1"/>
  <c r="V626" i="1"/>
  <c r="V164" i="1"/>
  <c r="V246" i="1"/>
  <c r="V443" i="1"/>
  <c r="V257" i="1"/>
  <c r="V657" i="1"/>
  <c r="V67" i="1"/>
  <c r="V129" i="1"/>
  <c r="V568" i="1"/>
  <c r="V706" i="1"/>
  <c r="V58" i="1"/>
  <c r="V70" i="1"/>
  <c r="V851" i="1"/>
  <c r="V321" i="1"/>
  <c r="V81" i="1"/>
  <c r="V317" i="1"/>
  <c r="V77" i="1"/>
  <c r="V301" i="1"/>
  <c r="V272" i="1"/>
  <c r="V1061" i="1"/>
  <c r="V269" i="1"/>
  <c r="V194" i="1"/>
  <c r="V191" i="1"/>
  <c r="V1064" i="1"/>
  <c r="V184" i="1"/>
  <c r="V34" i="1"/>
  <c r="V715" i="1"/>
  <c r="V46" i="1"/>
  <c r="V217" i="1"/>
  <c r="V291" i="1"/>
  <c r="V287" i="1"/>
  <c r="V1008" i="1"/>
  <c r="V213" i="1"/>
  <c r="V185" i="1"/>
  <c r="V786" i="1"/>
  <c r="V865" i="1"/>
  <c r="V587" i="1"/>
  <c r="V306" i="1"/>
  <c r="V183" i="1"/>
  <c r="V428" i="1"/>
  <c r="V169" i="1"/>
  <c r="V133" i="1"/>
  <c r="V410" i="1"/>
  <c r="V636" i="1"/>
  <c r="V459" i="1"/>
  <c r="V80" i="1"/>
  <c r="V172" i="1"/>
  <c r="V221" i="1"/>
  <c r="V830" i="1"/>
  <c r="V650" i="1"/>
  <c r="V606" i="1"/>
  <c r="V123" i="1"/>
  <c r="V47" i="1"/>
  <c r="V938" i="1"/>
  <c r="V1202" i="1"/>
  <c r="V87" i="1"/>
  <c r="V245" i="1"/>
  <c r="V431" i="1"/>
  <c r="V683" i="1"/>
  <c r="V338" i="1"/>
  <c r="V354" i="1"/>
  <c r="V793" i="1"/>
  <c r="V645" i="1"/>
  <c r="V150" i="1"/>
  <c r="V384" i="1"/>
  <c r="V849" i="1"/>
  <c r="V102" i="1"/>
  <c r="V666" i="1"/>
  <c r="V945" i="1"/>
  <c r="V1095" i="1"/>
  <c r="V756" i="1"/>
  <c r="V339" i="1"/>
  <c r="V195" i="1"/>
  <c r="V517" i="1"/>
  <c r="V152" i="1"/>
  <c r="V392" i="1"/>
  <c r="V982" i="1"/>
  <c r="V532" i="1"/>
  <c r="V646" i="1"/>
  <c r="V173" i="1"/>
  <c r="V794" i="1"/>
  <c r="V365" i="1"/>
  <c r="V442" i="1"/>
  <c r="V686" i="1"/>
  <c r="V597" i="1"/>
  <c r="V586" i="1"/>
  <c r="V429" i="1"/>
  <c r="V160" i="1"/>
  <c r="V546" i="1"/>
  <c r="V971" i="1"/>
  <c r="V739" i="1"/>
  <c r="V109" i="1"/>
  <c r="V1148" i="1"/>
  <c r="V326" i="1"/>
  <c r="V594" i="1"/>
  <c r="V1181" i="1"/>
  <c r="V485" i="1"/>
  <c r="V1229" i="1"/>
  <c r="V1220" i="1"/>
  <c r="V534" i="1"/>
  <c r="V1083" i="1"/>
  <c r="V399" i="1"/>
  <c r="V711" i="1"/>
  <c r="V415" i="1"/>
  <c r="V664" i="1"/>
  <c r="V1158" i="1"/>
  <c r="V693" i="1"/>
  <c r="V489" i="1"/>
  <c r="V144" i="1"/>
  <c r="V810" i="1"/>
  <c r="V902" i="1"/>
  <c r="V96" i="1"/>
  <c r="V782" i="1"/>
  <c r="V74" i="1"/>
  <c r="V462" i="1"/>
  <c r="V605" i="1"/>
  <c r="V723" i="1"/>
  <c r="V1110" i="1"/>
  <c r="V845" i="1"/>
  <c r="V774" i="1"/>
  <c r="V785" i="1"/>
  <c r="V423" i="1"/>
  <c r="V1117" i="1"/>
  <c r="V687" i="1"/>
  <c r="V1107" i="1"/>
  <c r="V505" i="1"/>
  <c r="V994" i="1"/>
  <c r="V397" i="1"/>
  <c r="V882" i="1"/>
  <c r="V1187" i="1"/>
  <c r="V1040" i="1"/>
  <c r="V866" i="1"/>
  <c r="V824" i="1"/>
  <c r="V409" i="1"/>
  <c r="V455" i="1"/>
  <c r="V835" i="1"/>
  <c r="V620" i="1"/>
  <c r="V993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</calcChain>
</file>

<file path=xl/sharedStrings.xml><?xml version="1.0" encoding="utf-8"?>
<sst xmlns="http://schemas.openxmlformats.org/spreadsheetml/2006/main" count="3676" uniqueCount="3161">
  <si>
    <t>speechiness</t>
  </si>
  <si>
    <t>key</t>
  </si>
  <si>
    <t>time_signature</t>
  </si>
  <si>
    <t>liveness</t>
  </si>
  <si>
    <t>loudness</t>
  </si>
  <si>
    <t>duration_ms</t>
  </si>
  <si>
    <t>danceability</t>
  </si>
  <si>
    <t>duration</t>
  </si>
  <si>
    <t>valence</t>
  </si>
  <si>
    <t>acousticness</t>
  </si>
  <si>
    <t>spotify_id</t>
  </si>
  <si>
    <t>volume_number</t>
  </si>
  <si>
    <t>energy</t>
  </si>
  <si>
    <t>tempo</t>
  </si>
  <si>
    <t>instrumentalness</t>
  </si>
  <si>
    <t>mode</t>
  </si>
  <si>
    <t>number</t>
  </si>
  <si>
    <t>artist</t>
  </si>
  <si>
    <t>title</t>
  </si>
  <si>
    <t>spotify:track:7mCQK9YB25WZw1saUjfL4e</t>
  </si>
  <si>
    <t>Fatboy Slim</t>
  </si>
  <si>
    <t>The Rockafeller Skank</t>
  </si>
  <si>
    <t>spotify:track:3UyL1yzD5B1nIaFJRs4W8r</t>
  </si>
  <si>
    <t>Good Charlotte</t>
  </si>
  <si>
    <t>Hold On</t>
  </si>
  <si>
    <t>spotify:track:1OGFtaUgHAQjtSk7mhDwr9</t>
  </si>
  <si>
    <t>Adema</t>
  </si>
  <si>
    <t>Giving In</t>
  </si>
  <si>
    <t>spotify:track:7oK9VyNzrYvRFo7nQEYkWN</t>
  </si>
  <si>
    <t>The Killers</t>
  </si>
  <si>
    <t>Mr. Brightside</t>
  </si>
  <si>
    <t>spotify:track:5BmagRD7Thki6O1zZwbxBy</t>
  </si>
  <si>
    <t>The Ataris</t>
  </si>
  <si>
    <t>The Boys of Summer</t>
  </si>
  <si>
    <t>spotify:track:2CFCY18NgxHc2tuJGgRE7e</t>
  </si>
  <si>
    <t>A Great Big World</t>
  </si>
  <si>
    <t>This Is the New Year</t>
  </si>
  <si>
    <t>spotify:track:06T10fEzN8ZCcqzQZYA184</t>
  </si>
  <si>
    <t>Nickelback</t>
  </si>
  <si>
    <t>Gotta Be Somebody</t>
  </si>
  <si>
    <t>spotify:track:44w63XqGr3sATAzOnOySgF</t>
  </si>
  <si>
    <t>If Everyone Cared</t>
  </si>
  <si>
    <t>spotify:track:2RxqHa7EgbKHEjYav48eXX</t>
  </si>
  <si>
    <t>Black Veil Brides</t>
  </si>
  <si>
    <t>In the End</t>
  </si>
  <si>
    <t>spotify:track:4jFCBvb2LZbPuL21MxwJpd</t>
  </si>
  <si>
    <t>David Guetta featuring Chris Brown and Lil Wayne</t>
  </si>
  <si>
    <t>I Can Only Imagine</t>
  </si>
  <si>
    <t>spotify:track:67awxiNHNyjMXhVgsHuIrs</t>
  </si>
  <si>
    <t>DJ Snake and Lil Jon</t>
  </si>
  <si>
    <t>Turn Down for What</t>
  </si>
  <si>
    <t>spotify:track:6PUIzlqotEmPuBfjbwYWOB</t>
  </si>
  <si>
    <t>Lana Del Rey</t>
  </si>
  <si>
    <t>Summertime Sadness (Cedric Gervais Remix Edit)</t>
  </si>
  <si>
    <t>spotify:track:1z3Q0Vv26kdsSc8KshjNWX</t>
  </si>
  <si>
    <t>Jessie J, Ariana Grande and Nicki Minaj</t>
  </si>
  <si>
    <t>Bang Bang</t>
  </si>
  <si>
    <t>spotify:track:1TEZWG1FdjzDdercCguTwj</t>
  </si>
  <si>
    <t>Limp Bizkit</t>
  </si>
  <si>
    <t>Nookie</t>
  </si>
  <si>
    <t>spotify:track:2VZv54ZLhVY0OPXA6IDviZ</t>
  </si>
  <si>
    <t>Born Cages</t>
  </si>
  <si>
    <t>Don't Look Back</t>
  </si>
  <si>
    <t>spotify:track:5GhYfK0jevTEtXOaqCKCxw</t>
  </si>
  <si>
    <t>Relient K</t>
  </si>
  <si>
    <t>Be My Escape</t>
  </si>
  <si>
    <t>spotify:track:0NrwQdPgOlLkVEC3VMlU42</t>
  </si>
  <si>
    <t>David Guetta featuring Kid Cudi</t>
  </si>
  <si>
    <t>Memories</t>
  </si>
  <si>
    <t>spotify:track:6SLUwdeias7fn6qVq6LcgP</t>
  </si>
  <si>
    <t>Ludacris featuring Usher and David Guetta</t>
  </si>
  <si>
    <t>Rest of My Life</t>
  </si>
  <si>
    <t>spotify:track:04NGX0b5Tgs7VsErfn5OA1</t>
  </si>
  <si>
    <t>Chevelle</t>
  </si>
  <si>
    <t>Vitamin R (Leading Us Along)</t>
  </si>
  <si>
    <t>spotify:track:2tVCFmn2zKg2wGXS1TCIIA</t>
  </si>
  <si>
    <t>Daughtry</t>
  </si>
  <si>
    <t>Feels Like Tonight</t>
  </si>
  <si>
    <t>spotify:track:20X9OeC606XNwEtDBOym5u</t>
  </si>
  <si>
    <t>Boys Like Girls</t>
  </si>
  <si>
    <t>Love Drunk</t>
  </si>
  <si>
    <t>spotify:track:1AnesEZjtNHT7Nr2Y4BuNR</t>
  </si>
  <si>
    <t>Hero/Heroine</t>
  </si>
  <si>
    <t>spotify:track:04Sl2hULaCVM7Iw8kzXPHN</t>
  </si>
  <si>
    <t>No Surprise</t>
  </si>
  <si>
    <t>spotify:track:1t6n18rlXyic8yohYQ1UGY</t>
  </si>
  <si>
    <t>Fuel</t>
  </si>
  <si>
    <t>Falls on Me</t>
  </si>
  <si>
    <t>spotify:track:3ZdJffjzJWFimSQyxgGIxN</t>
  </si>
  <si>
    <t>Nelly</t>
  </si>
  <si>
    <t>Just a Dream</t>
  </si>
  <si>
    <t>spotify:track:087OBLtoeS3Q6j0k6tMNAI</t>
  </si>
  <si>
    <t>Semisonic</t>
  </si>
  <si>
    <t>Closing Time</t>
  </si>
  <si>
    <t>spotify:track:5EQ9yEra0SzVd673ZfKT4C</t>
  </si>
  <si>
    <t>Ben Rector</t>
  </si>
  <si>
    <t>Brand New</t>
  </si>
  <si>
    <t>spotify:track:7Hlw1WjUiqumRhWWT4k1lD</t>
  </si>
  <si>
    <t>I Don't Want to Be in Love (Dance Floor Anthem)</t>
  </si>
  <si>
    <t>spotify:track:6GshchjC3sPsUkoxoq7phi</t>
  </si>
  <si>
    <t>Labrinth featuring Busta Rhymes</t>
  </si>
  <si>
    <t>Earthquake</t>
  </si>
  <si>
    <t>spotify:track:0wIhWLNLIOmzQ89B3rtTd3</t>
  </si>
  <si>
    <t>It's Not Over</t>
  </si>
  <si>
    <t>spotify:track:3QBgZFRkPq7vbPlizVATY0</t>
  </si>
  <si>
    <t>Hoobastank</t>
  </si>
  <si>
    <t>Disappear</t>
  </si>
  <si>
    <t>spotify:track:5uVji14OWpj9HMKLXdhjAv</t>
  </si>
  <si>
    <t>Maroon 5</t>
  </si>
  <si>
    <t>This Summer's Gonna Hurt Like a Mother...</t>
  </si>
  <si>
    <t>spotify:track:45sziCSqS4BWSQWUlLRpyf</t>
  </si>
  <si>
    <t>Switchfoot</t>
  </si>
  <si>
    <t>Dare You to Move</t>
  </si>
  <si>
    <t>spotify:track:6dRAAG4sB71NAtVCHJep7s</t>
  </si>
  <si>
    <t>Send the Pain Below</t>
  </si>
  <si>
    <t>spotify:track:7clUVcSOtkNWa58Gw5RfD4</t>
  </si>
  <si>
    <t>Coldplay</t>
  </si>
  <si>
    <t>Speed of Sound</t>
  </si>
  <si>
    <t>spotify:track:2gdt70w8DOCWGq1HdkgSUd</t>
  </si>
  <si>
    <t>Evan and Jaron</t>
  </si>
  <si>
    <t>Crazy for This Girl</t>
  </si>
  <si>
    <t>spotify:track:3zjjzKg16tczCMwckGKGuH</t>
  </si>
  <si>
    <t>Weathers</t>
  </si>
  <si>
    <t>Happy Pills</t>
  </si>
  <si>
    <t>spotify:track:4270XtiZeN9yYPR81dn8Ow</t>
  </si>
  <si>
    <t>Enrique Iglesias featuring Ludacris &amp; DJ Frank E</t>
  </si>
  <si>
    <t>Tonight (I'm Lovin' You)</t>
  </si>
  <si>
    <t>spotify:track:40Fp6pxcS9l08kL1R50mR4</t>
  </si>
  <si>
    <t>Lifehouse</t>
  </si>
  <si>
    <t>First Time</t>
  </si>
  <si>
    <t>spotify:track:6pQGz6cCWoMgnVTirIhZ18</t>
  </si>
  <si>
    <t>Edward Maya and Vika Jigulina</t>
  </si>
  <si>
    <t>Stereo Love</t>
  </si>
  <si>
    <t>spotify:track:2HjgCn2M3oMHHOIBI8FWmS</t>
  </si>
  <si>
    <t>Saliva</t>
  </si>
  <si>
    <t>Always</t>
  </si>
  <si>
    <t>spotify:track:1eOHw1k2AoluG4VyjBHLzX</t>
  </si>
  <si>
    <t>Cascada</t>
  </si>
  <si>
    <t>Everytime We Touch</t>
  </si>
  <si>
    <t>spotify:track:1QNoKVgA758HFLu3TW2q7R</t>
  </si>
  <si>
    <t>Selena Gomez</t>
  </si>
  <si>
    <t>Kill Em with Kindness</t>
  </si>
  <si>
    <t>spotify:track:3u1P7A1U6wlbm73j4NhDis</t>
  </si>
  <si>
    <t>Aerosmith</t>
  </si>
  <si>
    <t>Just Push Play</t>
  </si>
  <si>
    <t>spotify:track:48s0QHJgmiNsth3WEO6U4M</t>
  </si>
  <si>
    <t>OneRepublic</t>
  </si>
  <si>
    <t>Stop and Stare</t>
  </si>
  <si>
    <t>spotify:track:1gugDOSMREb34Xo0c1PlxM</t>
  </si>
  <si>
    <t>5 Seconds of Summer</t>
  </si>
  <si>
    <t>She Looks So Perfect</t>
  </si>
  <si>
    <t>spotify:track:779ooI3rBd0CLqCiiJmtVo</t>
  </si>
  <si>
    <t>Chad Kroeger featuring Josey Scott</t>
  </si>
  <si>
    <t>Hero</t>
  </si>
  <si>
    <t>spotify:track:5lDriBxJd22IhOH9zTcFrV</t>
  </si>
  <si>
    <t>The All-American Rejects</t>
  </si>
  <si>
    <t>Dirty Little Secret</t>
  </si>
  <si>
    <t>spotify:track:3HE50TVRquwXe9yv2HFoNL</t>
  </si>
  <si>
    <t>Three Days Grace</t>
  </si>
  <si>
    <t>Never Too Late</t>
  </si>
  <si>
    <t>spotify:track:6BuUPwGq9JXzc2u5egnjTp</t>
  </si>
  <si>
    <t>Garbage</t>
  </si>
  <si>
    <t>Special</t>
  </si>
  <si>
    <t>spotify:track:19NCvSbcSgIeUOWMamy2aU</t>
  </si>
  <si>
    <t>Major Lazer and DJ Snake featuring MÌ÷</t>
  </si>
  <si>
    <t>Lean On</t>
  </si>
  <si>
    <t>spotify:track:10sqe2FD4eb8MovY8Nyaii</t>
  </si>
  <si>
    <t>Tove Lo</t>
  </si>
  <si>
    <t>Talking Body</t>
  </si>
  <si>
    <t>spotify:track:66hayvUbTotekKU3H4ta1f</t>
  </si>
  <si>
    <t>Skrillex and Diplo featuring Justin Bieber</t>
  </si>
  <si>
    <t>Where Are ÌÏ Now</t>
  </si>
  <si>
    <t>spotify:track:3YJkAQNEhmCZGLdmPsu6Ye</t>
  </si>
  <si>
    <t>Rihanna featuring Jeezy</t>
  </si>
  <si>
    <t>Hard</t>
  </si>
  <si>
    <t>spotify:track:2nXWKf0GXbFby4posGqEht</t>
  </si>
  <si>
    <t>Home</t>
  </si>
  <si>
    <t>spotify:track:4wzjNqjKAKDU82e8uMhzmr</t>
  </si>
  <si>
    <t>The Red Jumpsuit Apparatus</t>
  </si>
  <si>
    <t>Face Down</t>
  </si>
  <si>
    <t>spotify:track:3Wb8aPlKSPSfHQa46DUlkt</t>
  </si>
  <si>
    <t>Teddy Geiger</t>
  </si>
  <si>
    <t>These Walls</t>
  </si>
  <si>
    <t>spotify:track:6GIrIt2M39wEGwjCQjGChX</t>
  </si>
  <si>
    <t>The Great Escape</t>
  </si>
  <si>
    <t>spotify:track:70eDxAyAraNTiD6lx2ZEnH</t>
  </si>
  <si>
    <t>Elle King</t>
  </si>
  <si>
    <t>Ex's &amp; Oh's</t>
  </si>
  <si>
    <t>spotify:track:3e0yTP5trHBBVvV32jwXqF</t>
  </si>
  <si>
    <t>Walk the Moon</t>
  </si>
  <si>
    <t>Anna Sun</t>
  </si>
  <si>
    <t>spotify:track:1gyee1JuFFiP476LQpRMYU</t>
  </si>
  <si>
    <t>The Red</t>
  </si>
  <si>
    <t>spotify:track:7H5OQN4iv3cKE3ZNP5Mbct</t>
  </si>
  <si>
    <t>Tonic</t>
  </si>
  <si>
    <t>If You Could Only See</t>
  </si>
  <si>
    <t>spotify:track:60wwxj6Dd9NJlirf84wr2c</t>
  </si>
  <si>
    <t>Zedd featuring Foxes</t>
  </si>
  <si>
    <t>Clarity</t>
  </si>
  <si>
    <t>spotify:track:6zy6JNfrc4ve2M6xmhadLV</t>
  </si>
  <si>
    <t>Nick Fradiani</t>
  </si>
  <si>
    <t>Beautiful Life</t>
  </si>
  <si>
    <t>spotify:track:0C2GT6MXWGRo7PIeeFq9zu</t>
  </si>
  <si>
    <t>Dirty Vegas</t>
  </si>
  <si>
    <t>Days Go By</t>
  </si>
  <si>
    <t>spotify:track:3c9LVPh3MpeFoaAL5DBDK5</t>
  </si>
  <si>
    <t>Katy Perry</t>
  </si>
  <si>
    <t>Thinking of You</t>
  </si>
  <si>
    <t>spotify:track:07dtD7iciEL7vHqATMXg3V</t>
  </si>
  <si>
    <t>What About Now</t>
  </si>
  <si>
    <t>spotify:track:4Dm32oO01YpIubCHaAtKkN</t>
  </si>
  <si>
    <t>Kelly Clarkson</t>
  </si>
  <si>
    <t>My Life Would Suck Without You</t>
  </si>
  <si>
    <t>spotify:track:2wdEXKLcuU7B0M2gqFmABH</t>
  </si>
  <si>
    <t>Photograph</t>
  </si>
  <si>
    <t>spotify:track:2ldAdghnrO34HPcZ0IWfTu</t>
  </si>
  <si>
    <t>Wrabel</t>
  </si>
  <si>
    <t>Ten Feet Tall</t>
  </si>
  <si>
    <t>spotify:track:1B0EEeioVP4BN66WVECaUY</t>
  </si>
  <si>
    <t>Hanson</t>
  </si>
  <si>
    <t>This Time Around</t>
  </si>
  <si>
    <t>spotify:track:0a7BloCiNzLDD9qSQHh5m7</t>
  </si>
  <si>
    <t>Fall Out Boy</t>
  </si>
  <si>
    <t>Dance, Dance</t>
  </si>
  <si>
    <t>spotify:track:3E8eSqBoqLs8ELbrK3NJHs</t>
  </si>
  <si>
    <t>Hemorrhage (In My Hands)</t>
  </si>
  <si>
    <t>spotify:track:4Tjtydj98uNQ9MwKtEybnT</t>
  </si>
  <si>
    <t>Bad Day</t>
  </si>
  <si>
    <t>spotify:track:07nH4ifBxUB4lZcsf44Brn</t>
  </si>
  <si>
    <t>Calvin Harris featuring John Newman</t>
  </si>
  <si>
    <t>Blame</t>
  </si>
  <si>
    <t>spotify:track:1VuBmEauSZywQVtqbxNqka</t>
  </si>
  <si>
    <t>U2</t>
  </si>
  <si>
    <t>Beautiful Day</t>
  </si>
  <si>
    <t>spotify:track:7AsqUKKbPMxOFNIbRLBxHt</t>
  </si>
  <si>
    <t>Halfway Gone</t>
  </si>
  <si>
    <t>spotify:track:4lAdOkj9Pj1952EYIKZmxg</t>
  </si>
  <si>
    <t>Kesha</t>
  </si>
  <si>
    <t>C'Mon</t>
  </si>
  <si>
    <t>spotify:track:3pKNiSzelPOJWV4lKP4IRB</t>
  </si>
  <si>
    <t>Transviolet</t>
  </si>
  <si>
    <t>New Bohemia</t>
  </si>
  <si>
    <t>spotify:track:6qYGUxPjQt5PJtWdiNppZx</t>
  </si>
  <si>
    <t>Pink</t>
  </si>
  <si>
    <t>So What</t>
  </si>
  <si>
    <t>spotify:track:2X1Z1k5wftCspyRLrqVCza</t>
  </si>
  <si>
    <t>Dark Side</t>
  </si>
  <si>
    <t>spotify:track:5Kb3iI1oIeZhChnHVQvstg</t>
  </si>
  <si>
    <t>Natalia Kills</t>
  </si>
  <si>
    <t>Trouble</t>
  </si>
  <si>
    <t>spotify:track:2ZQyksYO4zzhyHNcueL0CP</t>
  </si>
  <si>
    <t>Phillip Phillips</t>
  </si>
  <si>
    <t>spotify:track:0wqOReZDnrefefEsrIGeR4</t>
  </si>
  <si>
    <t>Hanging by a Moment</t>
  </si>
  <si>
    <t>spotify:track:5dANgSy7v091dhiPnEXNrf</t>
  </si>
  <si>
    <t>Young Jeezy featuring Kanye West</t>
  </si>
  <si>
    <t>Put On</t>
  </si>
  <si>
    <t>spotify:track:0G53JYumT2vVxRGOtROlXk</t>
  </si>
  <si>
    <t>Far Away</t>
  </si>
  <si>
    <t>spotify:track:77TT8Xvx637TpzV8kKGkUw</t>
  </si>
  <si>
    <t>David Guetta featuring Sia</t>
  </si>
  <si>
    <t>Titanium</t>
  </si>
  <si>
    <t>spotify:track:1GgmJnsrGkrOXfdFU3B7Re</t>
  </si>
  <si>
    <t>Never Again</t>
  </si>
  <si>
    <t>spotify:track:75hLNJfiXV5k2YGrbGEW51</t>
  </si>
  <si>
    <t>Feel Again</t>
  </si>
  <si>
    <t>spotify:track:3ZCDG0nujwGfxrEmZlZoEt</t>
  </si>
  <si>
    <t>Ellie Goulding</t>
  </si>
  <si>
    <t>Something in the Way You Move</t>
  </si>
  <si>
    <t>spotify:track:1k18nxjYj8R5iz82Ap7GEY</t>
  </si>
  <si>
    <t>Lady Gaga</t>
  </si>
  <si>
    <t>Marry the Night</t>
  </si>
  <si>
    <t>spotify:track:4z4PB23xYTg1oANmyZovsw</t>
  </si>
  <si>
    <t>Liz Phair</t>
  </si>
  <si>
    <t>Why Can't I?</t>
  </si>
  <si>
    <t>spotify:track:4lw2PwlgeQVyNRmm3aeX6X</t>
  </si>
  <si>
    <t>Who I Am Hates Who I've Been</t>
  </si>
  <si>
    <t>spotify:track:4G8gkOterJn0Ywt6uhqbhp</t>
  </si>
  <si>
    <t>Imagine Dragons</t>
  </si>
  <si>
    <t>Radioactive</t>
  </si>
  <si>
    <t>spotify:track:69uxyAqqPIsUyTO8txoP2M</t>
  </si>
  <si>
    <t>Adventure of a Lifetime</t>
  </si>
  <si>
    <t>spotify:track:4AExn2roFJPUOfdUbSkkc5</t>
  </si>
  <si>
    <t>Fancy Reagan</t>
  </si>
  <si>
    <t>Knock Me Out</t>
  </si>
  <si>
    <t>spotify:track:4x3SQvTgvqSTU3nOL1urZh</t>
  </si>
  <si>
    <t>The Reason</t>
  </si>
  <si>
    <t>spotify:track:0AKAxdNkwq9ZxRdW1DN9zW</t>
  </si>
  <si>
    <t>Behind These Hazel Eyes</t>
  </si>
  <si>
    <t>spotify:track:2ijMU9lYFCvGBzgwJ8Sd8q</t>
  </si>
  <si>
    <t>For You I Will (Confidence)</t>
  </si>
  <si>
    <t>spotify:track:5JZcX7TTLx4l0xFIXJ3DBt</t>
  </si>
  <si>
    <t>Blink-182</t>
  </si>
  <si>
    <t>What's My Age Again?</t>
  </si>
  <si>
    <t>spotify:track:2vBiZ7nBe0OqTZKWGP0s4K</t>
  </si>
  <si>
    <t>Lullaby</t>
  </si>
  <si>
    <t>spotify:track:275a9yzwGB6ncAW4SxY7q3</t>
  </si>
  <si>
    <t>Desiigner</t>
  </si>
  <si>
    <t>Panda</t>
  </si>
  <si>
    <t>spotify:track:4UYmDN0zBp2UafKY1US1TA</t>
  </si>
  <si>
    <t>Flex featuring Belinda</t>
  </si>
  <si>
    <t>Te Quiero (Spanglish Version)</t>
  </si>
  <si>
    <t>spotify:track:3QkXEz9TxApuk1JpDmeWnS</t>
  </si>
  <si>
    <t>Chris Brown featuring Tyga and Kevin McCall</t>
  </si>
  <si>
    <t>Deuces</t>
  </si>
  <si>
    <t>spotify:track:40LQiUUUKXVGyNs09lHVjW</t>
  </si>
  <si>
    <t>Hinder</t>
  </si>
  <si>
    <t>Lips of an Angel</t>
  </si>
  <si>
    <t>spotify:track:1UkMAtLU8NxsddE7j4zXGO</t>
  </si>
  <si>
    <t>American Hi-Fi</t>
  </si>
  <si>
    <t>Flavor of the Weak</t>
  </si>
  <si>
    <t>spotify:track:7k9iVpyeR5ybSPSkvmAP6K</t>
  </si>
  <si>
    <t>Flyleaf</t>
  </si>
  <si>
    <t>All Around Me</t>
  </si>
  <si>
    <t>spotify:track:7D49Iig0avHre9RFSUMkd2</t>
  </si>
  <si>
    <t>I Lived</t>
  </si>
  <si>
    <t>Taylor Swift</t>
  </si>
  <si>
    <t>Fearless</t>
  </si>
  <si>
    <t>Jaicko</t>
  </si>
  <si>
    <t>Fast Forward</t>
  </si>
  <si>
    <t>Christina Milian</t>
  </si>
  <si>
    <t>AM to PM</t>
  </si>
  <si>
    <t>JIVEjones</t>
  </si>
  <si>
    <t>Me, Myself &amp; I</t>
  </si>
  <si>
    <t>JoJo</t>
  </si>
  <si>
    <t>Baby It's You</t>
  </si>
  <si>
    <t>Our Song</t>
  </si>
  <si>
    <t>I Knew You Were Trouble</t>
  </si>
  <si>
    <t>Aaliyah</t>
  </si>
  <si>
    <t>I Care 4 U</t>
  </si>
  <si>
    <t>Blank Space</t>
  </si>
  <si>
    <t>Taylor Swift featuring Ed Sheeran</t>
  </si>
  <si>
    <t>Everything Has Changed</t>
  </si>
  <si>
    <t>Basic Vacation</t>
  </si>
  <si>
    <t>I Believe</t>
  </si>
  <si>
    <t>Gym Class Heroes featuring Neon Hitch</t>
  </si>
  <si>
    <t>Get Yourself Back Home</t>
  </si>
  <si>
    <t>Ours</t>
  </si>
  <si>
    <t>Toy Connor</t>
  </si>
  <si>
    <t>Be in Love Tonight</t>
  </si>
  <si>
    <t>Teardrops on My Guitar</t>
  </si>
  <si>
    <t>We Are Never Ever Getting Back Together</t>
  </si>
  <si>
    <t>Jay-Z featuring BeyoncÌ©</t>
  </si>
  <si>
    <t>03 Bonnie &amp; Clyde</t>
  </si>
  <si>
    <t>Jade Anderson</t>
  </si>
  <si>
    <t>Sugarhigh</t>
  </si>
  <si>
    <t>Style</t>
  </si>
  <si>
    <t>Neon Hitch</t>
  </si>
  <si>
    <t>Poisoned with Love</t>
  </si>
  <si>
    <t>You Belong with Me</t>
  </si>
  <si>
    <t>Leave (Get Out)</t>
  </si>
  <si>
    <t>Out of the Woods</t>
  </si>
  <si>
    <t>Andrew Grant</t>
  </si>
  <si>
    <t>Thinking for a While</t>
  </si>
  <si>
    <t>Taylor Swift featuring Kendrick Lamar</t>
  </si>
  <si>
    <t>Bad Blood</t>
  </si>
  <si>
    <t>Mine</t>
  </si>
  <si>
    <t>Jacob Latimore</t>
  </si>
  <si>
    <t>This or That</t>
  </si>
  <si>
    <t>Tiffany Dunn</t>
  </si>
  <si>
    <t>Shut the Front Door (Got My Girls)</t>
  </si>
  <si>
    <t>Love Story</t>
  </si>
  <si>
    <t>Wildest Dreams</t>
  </si>
  <si>
    <t>Ashley Parker Angel</t>
  </si>
  <si>
    <t>Let U Go</t>
  </si>
  <si>
    <t>spotify:track:7FX3ZWE70VRjsprg5oeECc</t>
  </si>
  <si>
    <t>Coin</t>
  </si>
  <si>
    <t>Talk Too Much</t>
  </si>
  <si>
    <t>spotify:track:0lYBSQXN6rCTvUZvg9S0lU</t>
  </si>
  <si>
    <t>DJ Snake featuring Justin Bieber</t>
  </si>
  <si>
    <t>Let Me Love You</t>
  </si>
  <si>
    <t>spotify:track:6Iocm6VMu6bVNYwiDoyQFW</t>
  </si>
  <si>
    <t>Diddy ‰ÛÒ Dirty Money featuring Skylar Grey</t>
  </si>
  <si>
    <t>Coming Home</t>
  </si>
  <si>
    <t>spotify:track:7cz70nyRXlCJOE85whEkgU</t>
  </si>
  <si>
    <t>Harvey Danger</t>
  </si>
  <si>
    <t>Flagpole Sitta</t>
  </si>
  <si>
    <t>spotify:track:7AmYqCQrdV7czyiMvYKrGs</t>
  </si>
  <si>
    <t>Eva Simons</t>
  </si>
  <si>
    <t>I Don't Like You</t>
  </si>
  <si>
    <t>spotify:track:5qxPabNDnJQ551Tf4v6k3j</t>
  </si>
  <si>
    <t>Catch My Breath</t>
  </si>
  <si>
    <t>spotify:track:0nbaoA1FPNt1tRnbXB6FFa</t>
  </si>
  <si>
    <t>Sick Puppies</t>
  </si>
  <si>
    <t>Maybe</t>
  </si>
  <si>
    <t>spotify:track:2q2IvYjfidmDUXag3batKZ</t>
  </si>
  <si>
    <t>Nikki Williams</t>
  </si>
  <si>
    <t>Glowing</t>
  </si>
  <si>
    <t>spotify:track:6s3GEN8wK0OMzzzZbXj0fu</t>
  </si>
  <si>
    <t>Hymn for the Weekend</t>
  </si>
  <si>
    <t>spotify:track:57kR5SniQIbsbVoIjjOUDa</t>
  </si>
  <si>
    <t>DJ Snake and AlunaGeorge</t>
  </si>
  <si>
    <t>You Know You Like It</t>
  </si>
  <si>
    <t>spotify:track:1HL2ABD6kUaXAJ9lBhIY4K</t>
  </si>
  <si>
    <t>J-Kwon</t>
  </si>
  <si>
    <t>You &amp; Me</t>
  </si>
  <si>
    <t>spotify:track:0Mn3amMRMoabaoTf1Publ4</t>
  </si>
  <si>
    <t>Demi Lovato</t>
  </si>
  <si>
    <t>Confident</t>
  </si>
  <si>
    <t>spotify:track:58LflM1owDAzQkYIL7ayCX</t>
  </si>
  <si>
    <t>Jadakiss featuring Anthony Hamilton</t>
  </si>
  <si>
    <t>Why?</t>
  </si>
  <si>
    <t>spotify:track:1TKWcT101WkRdfr7V94JPw</t>
  </si>
  <si>
    <t>Urban Cone</t>
  </si>
  <si>
    <t>Old School</t>
  </si>
  <si>
    <t>spotify:track:15pu8u4n3q4BKl4tF20c5v</t>
  </si>
  <si>
    <t>Alejandro</t>
  </si>
  <si>
    <t>spotify:track:39m9yBHkQX3Kjqf1lN2OXK</t>
  </si>
  <si>
    <t>Citizen Four</t>
  </si>
  <si>
    <t>Testify</t>
  </si>
  <si>
    <t>spotify:track:1QukgQhqTVgT8VFiG6Vxgb</t>
  </si>
  <si>
    <t>Betty Who</t>
  </si>
  <si>
    <t>All Of You</t>
  </si>
  <si>
    <t>spotify:track:5RoIXwyTCdyUjpMMkk4uPd</t>
  </si>
  <si>
    <t>The Temper Trap</t>
  </si>
  <si>
    <t>Sweet Disposition</t>
  </si>
  <si>
    <t>spotify:track:79cAPxneo5AvbNgR6ch3Cj</t>
  </si>
  <si>
    <t>Meant to Live</t>
  </si>
  <si>
    <t>spotify:track:5J4ZkQpzMUFojo1CtAZYpn</t>
  </si>
  <si>
    <t>Ariana Grande and The Weeknd</t>
  </si>
  <si>
    <t>Love Me Harder</t>
  </si>
  <si>
    <t>spotify:track:42T2QQv3xgBlpQxaSP7lnK</t>
  </si>
  <si>
    <t>Creed</t>
  </si>
  <si>
    <t>One Last Breath</t>
  </si>
  <si>
    <t>spotify:track:3GTXok0dIm0mMqBiVklBYS</t>
  </si>
  <si>
    <t>The Royal Concept</t>
  </si>
  <si>
    <t>On Our Way</t>
  </si>
  <si>
    <t>spotify:track:4hrPb0jJ0hiZBuT2dtKxM0</t>
  </si>
  <si>
    <t>Heart Heart Heartbreak</t>
  </si>
  <si>
    <t>spotify:track:3vv9phIu6Y1vX3jcqaGz5Z</t>
  </si>
  <si>
    <t>The Chainsmokers featuring Rozes</t>
  </si>
  <si>
    <t>Roses</t>
  </si>
  <si>
    <t>spotify:track:4iwCmveXwlYGF5M4WwMCb9</t>
  </si>
  <si>
    <t>Wallpaper</t>
  </si>
  <si>
    <t>Drunken Hearts</t>
  </si>
  <si>
    <t>spotify:track:573latfTMO7SpGtStVrQx5</t>
  </si>
  <si>
    <t>New Politics</t>
  </si>
  <si>
    <t>Harlem</t>
  </si>
  <si>
    <t>spotify:track:4QJLKU75Rg4558f4LbDBRi</t>
  </si>
  <si>
    <t>If Today Was Your Last Day</t>
  </si>
  <si>
    <t>spotify:track:6rUp7v3l8yC4TKxAAR5Bmx</t>
  </si>
  <si>
    <t>(I Hate) Everything About You</t>
  </si>
  <si>
    <t>spotify:track:3nzL5CIQiCEt6jRt1AlQ9d</t>
  </si>
  <si>
    <t>Whatever It Takes</t>
  </si>
  <si>
    <t>spotify:track:7zmqbdEqmQWgU2wOoBPG83</t>
  </si>
  <si>
    <t>David Cook</t>
  </si>
  <si>
    <t>Light On</t>
  </si>
  <si>
    <t>spotify:track:56s5jxF04s70q3bj5sXH3V</t>
  </si>
  <si>
    <t>Young and Divine</t>
  </si>
  <si>
    <t>Shake That Bubble</t>
  </si>
  <si>
    <t>spotify:track:6KtLECDztnah63TNmV4Plw</t>
  </si>
  <si>
    <t>Incubus</t>
  </si>
  <si>
    <t>Wish You Were Here</t>
  </si>
  <si>
    <t>spotify:track:0nNVR2iDM3eVzEgMi78vQm</t>
  </si>
  <si>
    <t>3 Doors Down</t>
  </si>
  <si>
    <t>Let Me Go</t>
  </si>
  <si>
    <t>spotify:track:7mXmxXLAnsvXKt4Q37KoMI</t>
  </si>
  <si>
    <t>Over You</t>
  </si>
  <si>
    <t>spotify:track:1wYZZtamWTQAoj8B812uKQ</t>
  </si>
  <si>
    <t>Alessia Cara</t>
  </si>
  <si>
    <t>Here</t>
  </si>
  <si>
    <t>spotify:track:3DKri1C3WW5146xWP6FCFz</t>
  </si>
  <si>
    <t>Dagny featuring BÌürns</t>
  </si>
  <si>
    <t>Fool's Gold</t>
  </si>
  <si>
    <t>spotify:track:61HQWI1Woxup7CnGwVUsdI</t>
  </si>
  <si>
    <t>Tinie Tempah featuring Eric Turner</t>
  </si>
  <si>
    <t>Written in the Stars</t>
  </si>
  <si>
    <t>spotify:track:0g5EKLgdKvNlln7TNqBByK</t>
  </si>
  <si>
    <t>DJ Snake featuring Bipolar Sunshine</t>
  </si>
  <si>
    <t>Middle</t>
  </si>
  <si>
    <t>spotify:track:6WLS56xiRrXjSm9RSdL3zD</t>
  </si>
  <si>
    <t>Zara Larsson and MNEK</t>
  </si>
  <si>
    <t>Never Forget You</t>
  </si>
  <si>
    <t>spotify:track:2bmxx16hNi3W5FGzfFO9xX</t>
  </si>
  <si>
    <t>Will Smith</t>
  </si>
  <si>
    <t>Switch</t>
  </si>
  <si>
    <t>spotify:track:0a5UnIvDUBzqwUduJsouRy</t>
  </si>
  <si>
    <t>Halestorm</t>
  </si>
  <si>
    <t>Here's to Us</t>
  </si>
  <si>
    <t>spotify:track:2Ms33RTRCT6gArrpcrPxmo</t>
  </si>
  <si>
    <t>Robbie Williams</t>
  </si>
  <si>
    <t>Feel</t>
  </si>
  <si>
    <t>spotify:track:7bPu0pkptMwRHIR0VtrCSf</t>
  </si>
  <si>
    <t>David Guetta &amp; Chris Willis featuring Fergie &amp; LMFAO</t>
  </si>
  <si>
    <t>Gettin' Over You</t>
  </si>
  <si>
    <t>spotify:track:7ceIquYtiTYlgSSm7PqUf9</t>
  </si>
  <si>
    <t>Already Gone</t>
  </si>
  <si>
    <t>spotify:track:72phhQtfwZcRweweRxxkmU</t>
  </si>
  <si>
    <t>Orianthi</t>
  </si>
  <si>
    <t>According to You</t>
  </si>
  <si>
    <t>spotify:track:4MtDnnAJ1AtWit10FRmZdW</t>
  </si>
  <si>
    <t>The Black Eyed Peas</t>
  </si>
  <si>
    <t>Don't Phunk with My Heart</t>
  </si>
  <si>
    <t>spotify:track:7s0lDK7y3XLmI7tcsRAbW0</t>
  </si>
  <si>
    <t>My Songs Know What You Did in the Dark (Light Em Up)</t>
  </si>
  <si>
    <t>spotify:track:4ImL3v98u2BLkwnyQDjfRm</t>
  </si>
  <si>
    <t>Kanye West</t>
  </si>
  <si>
    <t>Can't Tell Me Nothing</t>
  </si>
  <si>
    <t>spotify:track:3WbphvawbMZ8FyqDxYGdSQ</t>
  </si>
  <si>
    <t>When I'm Gone</t>
  </si>
  <si>
    <t>spotify:track:0c6xIDDpzE81m2q797ordA</t>
  </si>
  <si>
    <t>Kiesza</t>
  </si>
  <si>
    <t>Hideaway</t>
  </si>
  <si>
    <t>spotify:track:7BqBn9nzAq8spo5e7cZ0dJ</t>
  </si>
  <si>
    <t>Bruno Mars</t>
  </si>
  <si>
    <t>Just the Way You Are</t>
  </si>
  <si>
    <t>spotify:track:2UlFbS4EtiIj7uLeUvvOMJ</t>
  </si>
  <si>
    <t>Saving Abel</t>
  </si>
  <si>
    <t>18 Days</t>
  </si>
  <si>
    <t>spotify:track:0WCkFm0Ij9K0o1G3cxx6Xe</t>
  </si>
  <si>
    <t>Jordin Sparks and Chris Brown</t>
  </si>
  <si>
    <t>No Air</t>
  </si>
  <si>
    <t>spotify:track:4sK96UnGx3NjBaqvfTG2dm</t>
  </si>
  <si>
    <t>Alex Clare</t>
  </si>
  <si>
    <t>Too Close</t>
  </si>
  <si>
    <t>spotify:track:2LXyM3mXlRPIJwqyIoFh6n</t>
  </si>
  <si>
    <t>Willow Smith</t>
  </si>
  <si>
    <t>Whip My Hair</t>
  </si>
  <si>
    <t>spotify:track:12KUFSHFgT0XCoiSlvdQi4</t>
  </si>
  <si>
    <t>Ariana Grande featuring Zedd</t>
  </si>
  <si>
    <t>Break Free</t>
  </si>
  <si>
    <t>spotify:track:1pbHy9VBpSyZh56xuujZz0</t>
  </si>
  <si>
    <t>Dev</t>
  </si>
  <si>
    <t>In the Dark</t>
  </si>
  <si>
    <t>spotify:track:4IoYz8XqqdowINzfRrFnhi</t>
  </si>
  <si>
    <t>The Fray</t>
  </si>
  <si>
    <t>You Found Me</t>
  </si>
  <si>
    <t>spotify:track:5HbCnVLXRyZVxnreOPgJCK</t>
  </si>
  <si>
    <t>Avril Lavigne</t>
  </si>
  <si>
    <t>Girlfriend</t>
  </si>
  <si>
    <t>spotify:track:2bL2gyO6kBdLkNSkxXNh6x</t>
  </si>
  <si>
    <t>Animals</t>
  </si>
  <si>
    <t>spotify:track:0FDzzruyVECATHXKHFs9eJ</t>
  </si>
  <si>
    <t>A Sky Full of Stars</t>
  </si>
  <si>
    <t>spotify:track:3pxCXv0NACYfYnLjFcQW5D</t>
  </si>
  <si>
    <t>Addicted</t>
  </si>
  <si>
    <t>spotify:track:5MeZ3VxmtSv1O8PcekvLTn</t>
  </si>
  <si>
    <t>Boom Boom Pow</t>
  </si>
  <si>
    <t>spotify:track:1OXfWI3FQMdsKKC6lkvzSx</t>
  </si>
  <si>
    <t>The Wanted</t>
  </si>
  <si>
    <t>Glad You Came</t>
  </si>
  <si>
    <t>spotify:track:6FUOddZ0D1DQkBXdKF5lBh</t>
  </si>
  <si>
    <t>Runner Runner</t>
  </si>
  <si>
    <t>So Obvious</t>
  </si>
  <si>
    <t>spotify:track:4gWTBq5Jftq5CEKYpLXD8R</t>
  </si>
  <si>
    <t>Life After You</t>
  </si>
  <si>
    <t>spotify:track:03gsb1WnVQUuLqChBvzmoo</t>
  </si>
  <si>
    <t>Everclear</t>
  </si>
  <si>
    <t>AM Radio</t>
  </si>
  <si>
    <t>spotify:track:6j236RwzFFj4wqH2tWJNBD</t>
  </si>
  <si>
    <t>T-Pain featuring Lily Allen</t>
  </si>
  <si>
    <t>5 O'Clock</t>
  </si>
  <si>
    <t>spotify:track:3mNecsYFb6LQg7822DPXCP</t>
  </si>
  <si>
    <t>Nine Days</t>
  </si>
  <si>
    <t>Absolutely (Story of a Girl)</t>
  </si>
  <si>
    <t>spotify:track:12Ns5IphkblPmHxpRILG9t</t>
  </si>
  <si>
    <t>Chris Brown</t>
  </si>
  <si>
    <t>Don't Wake Me Up</t>
  </si>
  <si>
    <t>spotify:track:6Gj3oHBAFYHlcLBHOXZ3oz</t>
  </si>
  <si>
    <t>Nick Lachey</t>
  </si>
  <si>
    <t>I Can't Hate You Anymore</t>
  </si>
  <si>
    <t>spotify:track:423EcxblW9F4nnQkqcqMlK</t>
  </si>
  <si>
    <t>BeyoncÌ© featuring Jay-Z</t>
  </si>
  <si>
    <t>DÌ©jÌÊ Vu</t>
  </si>
  <si>
    <t>spotify:track:5xcSi6kSAq1MfPXVuzC5gD</t>
  </si>
  <si>
    <t>Wonderful</t>
  </si>
  <si>
    <t>spotify:track:5vlEg2fT4cFWAqU5QptIpQ</t>
  </si>
  <si>
    <t>Iyaz</t>
  </si>
  <si>
    <t>Replay</t>
  </si>
  <si>
    <t>spotify:track:0v1XpBHnsbkCn7iJ9Ucr1l</t>
  </si>
  <si>
    <t>Bon Jovi</t>
  </si>
  <si>
    <t>It's My Life</t>
  </si>
  <si>
    <t>spotify:track:5Hroj5K7vLpIG4FNCRIjbP</t>
  </si>
  <si>
    <t>American Authors</t>
  </si>
  <si>
    <t>Best Day of My Life</t>
  </si>
  <si>
    <t>spotify:track:0JNdS1n0ifOP25XvhwAMgM</t>
  </si>
  <si>
    <t>The Edge of Glory</t>
  </si>
  <si>
    <t>spotify:track:6F5c58TMEs1byxUstkzVeM</t>
  </si>
  <si>
    <t>Roar</t>
  </si>
  <si>
    <t>spotify:track:6DcDdDevI94Dh4vc5anXBE</t>
  </si>
  <si>
    <t>Pitbull featuring G.R.L.</t>
  </si>
  <si>
    <t>Wild Wild Love</t>
  </si>
  <si>
    <t>spotify:track:4KacUpvbA3Mfo05gttTjhN</t>
  </si>
  <si>
    <t>Sum 41</t>
  </si>
  <si>
    <t>Fat Lip</t>
  </si>
  <si>
    <t>spotify:track:26AYR77170U49cMcXB7aRV</t>
  </si>
  <si>
    <t>Feeling This</t>
  </si>
  <si>
    <t>spotify:track:6ucR4KfvsBFWCMVFDvyKKl</t>
  </si>
  <si>
    <t>Timbaland featuring OneRepublic</t>
  </si>
  <si>
    <t>Apologize</t>
  </si>
  <si>
    <t>spotify:track:2l57cfmCnOkwNX1tky02n1</t>
  </si>
  <si>
    <t>Move Along</t>
  </si>
  <si>
    <t>spotify:track:1eyzqe2QqGZUmfcPZtrIyt</t>
  </si>
  <si>
    <t>M83</t>
  </si>
  <si>
    <t>Midnight City</t>
  </si>
  <si>
    <t>spotify:track:2HNZxbvFvasRtlOJ9M6DgR</t>
  </si>
  <si>
    <t>MMMBop</t>
  </si>
  <si>
    <t>spotify:track:33PowGnnFPgWSGHcGIQX1U</t>
  </si>
  <si>
    <t>Yung Berg featuring Casha</t>
  </si>
  <si>
    <t>The Business</t>
  </si>
  <si>
    <t>spotify:track:6TNN9i2o484cOTck3KUARi</t>
  </si>
  <si>
    <t>Conrad Sewell</t>
  </si>
  <si>
    <t>Hold Me Up</t>
  </si>
  <si>
    <t>spotify:track:04aAxqtGp5pv12UXAg4pkq</t>
  </si>
  <si>
    <t>Centuries</t>
  </si>
  <si>
    <t>spotify:track:4CWZOyb9YHIH06yfsvY6k1</t>
  </si>
  <si>
    <t>Sigala featuring John Newman and Nile Rodgers</t>
  </si>
  <si>
    <t>Give Me Your Love</t>
  </si>
  <si>
    <t>spotify:track:7tAXHZdp9UpcYrHn7MZqfo</t>
  </si>
  <si>
    <t>Forever</t>
  </si>
  <si>
    <t>spotify:track:1Xsxp1SEOxuMzjrFZhtw8u</t>
  </si>
  <si>
    <t>Emeli SandÌ©</t>
  </si>
  <si>
    <t>Next to Me (Radio Mix)</t>
  </si>
  <si>
    <t>spotify:track:3a2tuvXCHbW5nuUckuHkKT</t>
  </si>
  <si>
    <t>Of Monsters and Men</t>
  </si>
  <si>
    <t>Little Talks (Edit)</t>
  </si>
  <si>
    <t>spotify:track:6VQ1iGUwAyFugBI73h1iqs</t>
  </si>
  <si>
    <t>Zay Hilfigerrr &amp; Zayion McCall</t>
  </si>
  <si>
    <t>Juju on That Beat (TZ Anthem)</t>
  </si>
  <si>
    <t>spotify:track:1MO6jWRxOu1FMY3bVFVOfw</t>
  </si>
  <si>
    <t>Miranda Cosgrove</t>
  </si>
  <si>
    <t>Kissin U</t>
  </si>
  <si>
    <t>spotify:track:4fixebDZAVToLbUCuEloa2</t>
  </si>
  <si>
    <t>Britney Spears</t>
  </si>
  <si>
    <t>Womanizer</t>
  </si>
  <si>
    <t>spotify:track:0azC730Exh71aQlOt9Zj3y</t>
  </si>
  <si>
    <t>Calvin Harris featuring Rihanna</t>
  </si>
  <si>
    <t>This Is What You Came For</t>
  </si>
  <si>
    <t>spotify:track:5sAlmL7Qp9N9BJTADkwEt9</t>
  </si>
  <si>
    <t>Usher</t>
  </si>
  <si>
    <t>Scream</t>
  </si>
  <si>
    <t>spotify:track:155HKSO2ac9yrE4zGbvVaW</t>
  </si>
  <si>
    <t>Lisa Marie Presley</t>
  </si>
  <si>
    <t>Lights Out</t>
  </si>
  <si>
    <t>spotify:track:4TxdDwdVNpLTcXkCflfuHB</t>
  </si>
  <si>
    <t>Saving Jane</t>
  </si>
  <si>
    <t>Girl Next Door</t>
  </si>
  <si>
    <t>spotify:track:5X3ahLXhOw16BR09GjYPUT</t>
  </si>
  <si>
    <t>Rihanna</t>
  </si>
  <si>
    <t>Rehab</t>
  </si>
  <si>
    <t>spotify:track:6fvxos1qSHrIgOkKw4dhWS</t>
  </si>
  <si>
    <t>Waking Up in Vegas</t>
  </si>
  <si>
    <t>spotify:track:6j7hih15xG2cdYwIJnQXsq</t>
  </si>
  <si>
    <t>Gavin DeGraw</t>
  </si>
  <si>
    <t>Not Over You</t>
  </si>
  <si>
    <t>spotify:track:7KBhCiWOhLJggCAqtFNowU</t>
  </si>
  <si>
    <t>Sky Ferreira</t>
  </si>
  <si>
    <t>Obsession</t>
  </si>
  <si>
    <t>spotify:track:5Eg4TsPcqNbIjd8ADMZosg</t>
  </si>
  <si>
    <t>Nick Jonas</t>
  </si>
  <si>
    <t>Chains</t>
  </si>
  <si>
    <t>spotify:track:6AdLyvisRKHLAwARaZMGr6</t>
  </si>
  <si>
    <t>Sean Kingston</t>
  </si>
  <si>
    <t>Take You There</t>
  </si>
  <si>
    <t>spotify:track:0c3yfC8zMRJGvmqphczhZb</t>
  </si>
  <si>
    <t>The Script</t>
  </si>
  <si>
    <t>Nothing</t>
  </si>
  <si>
    <t>spotify:track:1i1fxkWeaMmKEB4T7zqbzK</t>
  </si>
  <si>
    <t>The Chainsmokers featuring Daya</t>
  </si>
  <si>
    <t>Don't Let Me Down</t>
  </si>
  <si>
    <t>spotify:track:3Zwu2K0Qa5sT6teCCHPShP</t>
  </si>
  <si>
    <t>Thnks fr th Mmrs</t>
  </si>
  <si>
    <t>spotify:track:6E11E0lT5Zy7yb6iT3y8DN</t>
  </si>
  <si>
    <t>Cher Lloyd</t>
  </si>
  <si>
    <t>Want U Back</t>
  </si>
  <si>
    <t>spotify:track:7uRznL3LcuazKpwCTpDltz</t>
  </si>
  <si>
    <t>Mr. Know It All</t>
  </si>
  <si>
    <t>spotify:track:6r2BECwMgEoRb5yLfp0Hca</t>
  </si>
  <si>
    <t>Born This Way</t>
  </si>
  <si>
    <t>spotify:track:4RXpgGM7A4Hg7cFBoH5KyF</t>
  </si>
  <si>
    <t>Avicii</t>
  </si>
  <si>
    <t>Hey Brother</t>
  </si>
  <si>
    <t>spotify:track:4fwbGKNExPtPHbor1TBSY4</t>
  </si>
  <si>
    <t>Unconditionally</t>
  </si>
  <si>
    <t>spotify:track:0fYVliAYKHuPmECRs1pbRf</t>
  </si>
  <si>
    <t>X Ambassadors</t>
  </si>
  <si>
    <t>Renegades</t>
  </si>
  <si>
    <t>spotify:track:0GfXd2we2wXxAeHoy5fRsM</t>
  </si>
  <si>
    <t>Numb</t>
  </si>
  <si>
    <t>spotify:track:56elgHuzFP2aqqA0rUjRj1</t>
  </si>
  <si>
    <t>Sober</t>
  </si>
  <si>
    <t>spotify:track:0IkKz2J93C94Ei4BvDop7P</t>
  </si>
  <si>
    <t>LMFAO featuring Lauren Bennett and GoonRock</t>
  </si>
  <si>
    <t>Party Rock Anthem</t>
  </si>
  <si>
    <t>spotify:track:3PbHle8KhJp6GuO1jLdEmQ</t>
  </si>
  <si>
    <t>Be Like That</t>
  </si>
  <si>
    <t>spotify:track:17XgxMFNzBYv38TEJRC18D</t>
  </si>
  <si>
    <t>The Hell Song</t>
  </si>
  <si>
    <t>spotify:track:1uDJUFrLRHBRU6BY1h4Scy</t>
  </si>
  <si>
    <t>I Think I'm Paranoid</t>
  </si>
  <si>
    <t>spotify:track:4kxND2rbPDrdb7Sgoo1Fbh</t>
  </si>
  <si>
    <t>When You're Gone</t>
  </si>
  <si>
    <t>spotify:track:4PkJ7c9y1CwpuVOiJODnCZ</t>
  </si>
  <si>
    <t>Someday</t>
  </si>
  <si>
    <t>spotify:track:1jOX0VStcWZpn8gAdoQVn3</t>
  </si>
  <si>
    <t>JoJo featuring Wiz Khalifa</t>
  </si>
  <si>
    <t>No Apologies</t>
  </si>
  <si>
    <t>spotify:track:7FC9Lng8iXU081lbigu8m8</t>
  </si>
  <si>
    <t>Heartbeat Song</t>
  </si>
  <si>
    <t>spotify:track:6tS3XVuOyu10897O3ae7bi</t>
  </si>
  <si>
    <t>Katy Perry featuring Snoop Dogg</t>
  </si>
  <si>
    <t>California Gurls</t>
  </si>
  <si>
    <t>spotify:track:4du0TY3NTgvQGlelrBHfDL</t>
  </si>
  <si>
    <t>Mandy Moore</t>
  </si>
  <si>
    <t>I Wanna Be with You</t>
  </si>
  <si>
    <t>spotify:track:3cXEhlI2PKHEjDt39I2upA</t>
  </si>
  <si>
    <t>Cady Groves</t>
  </si>
  <si>
    <t>Love Actually</t>
  </si>
  <si>
    <t>spotify:track:3AJwUDP919kvQ9QcozQPxg</t>
  </si>
  <si>
    <t>Yellow</t>
  </si>
  <si>
    <t>spotify:track:2V65y3PX4DkRhy1djlxd9p</t>
  </si>
  <si>
    <t>Swedish House Mafia featuring John Martin</t>
  </si>
  <si>
    <t>Don't You Worry Child</t>
  </si>
  <si>
    <t>spotify:track:1a7e4BJijCkokiqZrI8Vqr</t>
  </si>
  <si>
    <t>Christina Aguilera</t>
  </si>
  <si>
    <t>Keeps Gettin' Better</t>
  </si>
  <si>
    <t>spotify:track:2bbeNsFmjZqdoDhjLsKNWe</t>
  </si>
  <si>
    <t>Enrique Iglesias</t>
  </si>
  <si>
    <t>Bailamos</t>
  </si>
  <si>
    <t>spotify:track:7xoUc6faLbCqZO6fQEYprd</t>
  </si>
  <si>
    <t>Ariana Grande</t>
  </si>
  <si>
    <t>One Last Time</t>
  </si>
  <si>
    <t>spotify:track:0dQQWHlXvuw4UyHcAvhfhB</t>
  </si>
  <si>
    <t>Pussycat Dolls</t>
  </si>
  <si>
    <t>When I Grow Up</t>
  </si>
  <si>
    <t>spotify:track:2Mpj1Ul5OFPyyP4wB62Rvi</t>
  </si>
  <si>
    <t>Destiny's Child</t>
  </si>
  <si>
    <t>Survivor</t>
  </si>
  <si>
    <t>spotify:track:2ptt0Eftq3b2jElTRrctrT</t>
  </si>
  <si>
    <t>Stacie Orrico</t>
  </si>
  <si>
    <t>Stuck</t>
  </si>
  <si>
    <t>spotify:track:14d9pTFIVWZN5hcrtfrgjc</t>
  </si>
  <si>
    <t>I Will Buy You a New Life</t>
  </si>
  <si>
    <t>spotify:track:4fINc8dnfcz7AdhFYVA4i7</t>
  </si>
  <si>
    <t>Jason Derulo</t>
  </si>
  <si>
    <t>It Girl</t>
  </si>
  <si>
    <t>spotify:track:0gmbgwZ8iqyMPmXefof8Yf</t>
  </si>
  <si>
    <t>How You Remind Me</t>
  </si>
  <si>
    <t>spotify:track:6ZOBP3NvffbU4SZcrnt1k6</t>
  </si>
  <si>
    <t>Kryptonite</t>
  </si>
  <si>
    <t>spotify:track:6OPoF9qiuV2dNfJ44w3X4M</t>
  </si>
  <si>
    <t>All Time Low</t>
  </si>
  <si>
    <t>Something's Gotta Give</t>
  </si>
  <si>
    <t>spotify:track:2meEiZKWkiN28gITzFwQo5</t>
  </si>
  <si>
    <t>Into You</t>
  </si>
  <si>
    <t>spotify:track:3oRMeMMJ1xUhBBpy2iGE2g</t>
  </si>
  <si>
    <t>About You Now</t>
  </si>
  <si>
    <t>spotify:track:1HOlb9rdNOmy9b1Fakicjo</t>
  </si>
  <si>
    <t>The Chainsmokers</t>
  </si>
  <si>
    <t>Selfie</t>
  </si>
  <si>
    <t>spotify:track:4N2utzbudidhsWZLpdHb2U</t>
  </si>
  <si>
    <t>Father of Mine</t>
  </si>
  <si>
    <t>spotify:track:0eKyHwckh9vQb8ncZ2DXCs</t>
  </si>
  <si>
    <t>With Arms Wide Open</t>
  </si>
  <si>
    <t>spotify:track:142z71E6iBRYh6ple2AMXi</t>
  </si>
  <si>
    <t>Marc Anthony</t>
  </si>
  <si>
    <t>I've Got You</t>
  </si>
  <si>
    <t>spotify:track:4iihDHIoKZdOeOW1kFDUtR</t>
  </si>
  <si>
    <t>Jaded</t>
  </si>
  <si>
    <t>spotify:track:6epn3r7S14KUqlReYr77hA</t>
  </si>
  <si>
    <t>Justin Bieber featuring Ludacris</t>
  </si>
  <si>
    <t>Baby</t>
  </si>
  <si>
    <t>spotify:track:2vVc2G9w2JteBgxpSUVwX5</t>
  </si>
  <si>
    <t>Kevin Rudolf featuring Lil Wayne</t>
  </si>
  <si>
    <t>Let It Rock</t>
  </si>
  <si>
    <t>spotify:track:0cV4xwUA4ue2deqq4CZFko</t>
  </si>
  <si>
    <t>Luke Bryan</t>
  </si>
  <si>
    <t>I Don't Want This Night to End</t>
  </si>
  <si>
    <t>spotify:track:6jg5SRvdGxvJ0DzNV0UqEK</t>
  </si>
  <si>
    <t>Mike Posner</t>
  </si>
  <si>
    <t>Please Don't Go</t>
  </si>
  <si>
    <t>spotify:track:6D60klaHqbCl9ySc8VcRss</t>
  </si>
  <si>
    <t>Stronger (What Doesn't Kill You)</t>
  </si>
  <si>
    <t>spotify:track:37f4ITSlgPX81ad2EvmVQr</t>
  </si>
  <si>
    <t>Rachel Platten</t>
  </si>
  <si>
    <t>Fight Song</t>
  </si>
  <si>
    <t>spotify:track:0UdqZQEbRWTkNXlh5kl2L8</t>
  </si>
  <si>
    <t>Janet Jackson</t>
  </si>
  <si>
    <t>All for You</t>
  </si>
  <si>
    <t>spotify:track:5FljCWR0cys07PQ9277GTz</t>
  </si>
  <si>
    <t>The Other Side</t>
  </si>
  <si>
    <t>spotify:track:4QNpBfC0zvjKqPJcyqBy9W</t>
  </si>
  <si>
    <t>Pitbull featuring Ne-Yo, Afrojack and Nayer</t>
  </si>
  <si>
    <t>Give Me Everything</t>
  </si>
  <si>
    <t>spotify:track:2C1m7Lw5cUpFWUkN6Tovik</t>
  </si>
  <si>
    <t>The Road I'm On</t>
  </si>
  <si>
    <t>spotify:track:48kwdkeHEJEuMzcKklPv5b</t>
  </si>
  <si>
    <t>LMFAO</t>
  </si>
  <si>
    <t>Sorry for Party Rocking</t>
  </si>
  <si>
    <t>spotify:track:1FMHNVeJ9s1x1l1WlaRs2I</t>
  </si>
  <si>
    <t>It Ends Tonight</t>
  </si>
  <si>
    <t>spotify:track:3kSXn1osC89W8JcPLozTzs</t>
  </si>
  <si>
    <t>Stand by You</t>
  </si>
  <si>
    <t>spotify:track:7Dyq1bhhjknLKEGg4k5NLr</t>
  </si>
  <si>
    <t>Hold It Against Me</t>
  </si>
  <si>
    <t>spotify:track:7jO1boY6qwRjeu0EBtvDuu</t>
  </si>
  <si>
    <t>Karmin</t>
  </si>
  <si>
    <t>Hello</t>
  </si>
  <si>
    <t>spotify:track:7IUl5c6u18rzmyQOblj10T</t>
  </si>
  <si>
    <t>Justin Bieber featuring Usher</t>
  </si>
  <si>
    <t>Somebody to Love (Remix)</t>
  </si>
  <si>
    <t>spotify:track:0qup7d7G2WffwARHKrqT2x</t>
  </si>
  <si>
    <t>Keith Urban</t>
  </si>
  <si>
    <t>Somebody Like You</t>
  </si>
  <si>
    <t>spotify:track:0XfFxeXzMkIy5SWAVpOQin</t>
  </si>
  <si>
    <t>Darius Rucker</t>
  </si>
  <si>
    <t>Don't Think I Don't Think About It</t>
  </si>
  <si>
    <t>spotify:track:0n2RMFCf3wfKJ9h3E3BKO8</t>
  </si>
  <si>
    <t>Savin' Me</t>
  </si>
  <si>
    <t>spotify:track:6Brmhk7BOshEQpEq8Fi9WB</t>
  </si>
  <si>
    <t>Alex &amp; Sierra</t>
  </si>
  <si>
    <t>Scarecrow</t>
  </si>
  <si>
    <t>spotify:track:4kbj5MwxO1bq9wjT5g9HaA</t>
  </si>
  <si>
    <t>Shut Up and Dance</t>
  </si>
  <si>
    <t>spotify:track:6GVryHJpjnrnrsTggoNTpe</t>
  </si>
  <si>
    <t>spotify:track:2EeKI8uO93OxtjxlmAqGux</t>
  </si>
  <si>
    <t>Sammy Adams</t>
  </si>
  <si>
    <t>Blow Up</t>
  </si>
  <si>
    <t>spotify:track:3HMuXylWiUmZ6nlIU3eOJ6</t>
  </si>
  <si>
    <t>Hey Violet</t>
  </si>
  <si>
    <t>Guys My Age</t>
  </si>
  <si>
    <t>spotify:track:5c7tO3OhDBA4CUkdGoKkI2</t>
  </si>
  <si>
    <t>Hilary Duff</t>
  </si>
  <si>
    <t>All About You</t>
  </si>
  <si>
    <t>spotify:track:1qmgCnDLFJfhU4wCBSTpKe</t>
  </si>
  <si>
    <t>Running Away</t>
  </si>
  <si>
    <t>spotify:track:5AnCLGg35ziFOloEnXK4uu</t>
  </si>
  <si>
    <t>Miley Cyrus</t>
  </si>
  <si>
    <t>Adore You</t>
  </si>
  <si>
    <t>spotify:track:03fT3OHB9KyMtGMt2zwqCT</t>
  </si>
  <si>
    <t>Play It Again</t>
  </si>
  <si>
    <t>spotify:track:1RG8MABX0VciDk6WYb8pBv</t>
  </si>
  <si>
    <t>This Afternoon</t>
  </si>
  <si>
    <t>spotify:track:6lUY6MoqGgPnA27PHYxem5</t>
  </si>
  <si>
    <t>La Roux</t>
  </si>
  <si>
    <t>Bulletproof</t>
  </si>
  <si>
    <t>spotify:track:3b7CDTKB0SRTmQ6ytYi5vZ</t>
  </si>
  <si>
    <t>Drunk on You</t>
  </si>
  <si>
    <t>spotify:track:09CtPGIpYB4BrO8qb1RGsF</t>
  </si>
  <si>
    <t>Justin Bieber</t>
  </si>
  <si>
    <t>Sorry</t>
  </si>
  <si>
    <t>spotify:track:3cvNxYnBgh6ystYLC6NQTT</t>
  </si>
  <si>
    <t>Daylight</t>
  </si>
  <si>
    <t>spotify:track:2NniAhAtkRACaMeYt48xlD</t>
  </si>
  <si>
    <t>Train</t>
  </si>
  <si>
    <t>50 Ways to Say Goodbye</t>
  </si>
  <si>
    <t>spotify:track:4NTWZqvfQTlOMitlVn6tew</t>
  </si>
  <si>
    <t>Lupe Fiasco</t>
  </si>
  <si>
    <t>The Show Goes On</t>
  </si>
  <si>
    <t>spotify:track:7kMfu3KUydmrFVGEAhjtyl</t>
  </si>
  <si>
    <t>Cobra Starship featuring Leighton Meester</t>
  </si>
  <si>
    <t>Good Girls Go Bad</t>
  </si>
  <si>
    <t>spotify:track:3vNiHPIipR4a4bZKA288CD</t>
  </si>
  <si>
    <t>Snoop Dogg</t>
  </si>
  <si>
    <t>I Wanna Rock</t>
  </si>
  <si>
    <t>spotify:track:2SHnUyZq0zwmvRIl4WY77G</t>
  </si>
  <si>
    <t>Krewella</t>
  </si>
  <si>
    <t>Alive</t>
  </si>
  <si>
    <t>spotify:track:6fQJg7MdQssgZJDhTJtFtd</t>
  </si>
  <si>
    <t>Our Lady Peace</t>
  </si>
  <si>
    <t>Somewhere Out There</t>
  </si>
  <si>
    <t>spotify:track:6HRPi1u56S65lKdDg7UNl5</t>
  </si>
  <si>
    <t>Jadagrace</t>
  </si>
  <si>
    <t>Run Dat Back</t>
  </si>
  <si>
    <t>spotify:track:0zlD8JjDsFUUmofqPE83Cj</t>
  </si>
  <si>
    <t>David Guetta featuring Nicki Minaj</t>
  </si>
  <si>
    <t>Turn Me On</t>
  </si>
  <si>
    <t>spotify:track:5P5cGNzqh6A353N3ShDK6Y</t>
  </si>
  <si>
    <t>Bad Romance</t>
  </si>
  <si>
    <t>spotify:track:5Hv1QAbRWrUSUHaT0CmnMS</t>
  </si>
  <si>
    <t>Santana featuring Chad Kroeger of Nickelback</t>
  </si>
  <si>
    <t>Into the Night</t>
  </si>
  <si>
    <t>spotify:track:4PvD06Pmbm2rHG2JjSlElF</t>
  </si>
  <si>
    <t>Banks</t>
  </si>
  <si>
    <t>Beggin for Thread</t>
  </si>
  <si>
    <t>spotify:track:1NhPKVLsHhFUHIOZ32QnS2</t>
  </si>
  <si>
    <t>Secrets</t>
  </si>
  <si>
    <t>spotify:track:2elA6JLRaQ6iB7hxiuTKN4</t>
  </si>
  <si>
    <t>Bone Thugs-n-Harmony featuring Akon</t>
  </si>
  <si>
    <t>I Tried</t>
  </si>
  <si>
    <t>spotify:track:68Q1r5zDnnYaHkh80yal4A</t>
  </si>
  <si>
    <t>Trace Adkins</t>
  </si>
  <si>
    <t>You're Gonna Miss This</t>
  </si>
  <si>
    <t>spotify:track:5d967hRg6jQtfyRQTt9iKl</t>
  </si>
  <si>
    <t>Shawn Mendes</t>
  </si>
  <si>
    <t>Life of the Party</t>
  </si>
  <si>
    <t>spotify:track:0KmylOmsEL1Lqo8GDP80LJ</t>
  </si>
  <si>
    <t>Sheryl Crow</t>
  </si>
  <si>
    <t>My Favorite Mistake</t>
  </si>
  <si>
    <t>spotify:track:21RRhjnMsrvQpeQ10ptSBZ</t>
  </si>
  <si>
    <t>September</t>
  </si>
  <si>
    <t>spotify:track:6LS6pltO7YBgjwNVhxMwtp</t>
  </si>
  <si>
    <t>Blow Me (One Last Kiss)</t>
  </si>
  <si>
    <t>spotify:track:5kcE7pp02ezLZaUbbMv3Iq</t>
  </si>
  <si>
    <t>Nicki Minaj</t>
  </si>
  <si>
    <t>Pound the Alarm</t>
  </si>
  <si>
    <t>spotify:track:0EMyqiMNDRptenOpbe2mcK</t>
  </si>
  <si>
    <t>Agnes</t>
  </si>
  <si>
    <t>Release Me</t>
  </si>
  <si>
    <t>spotify:track:7fBv7CLKzipRk6EC6TWHOB</t>
  </si>
  <si>
    <t>The Weeknd</t>
  </si>
  <si>
    <t>The Hills</t>
  </si>
  <si>
    <t>spotify:track:3zcmWxxUA7Em7X3IBqZGUo</t>
  </si>
  <si>
    <t>In Love with a Girl</t>
  </si>
  <si>
    <t>spotify:track:1ak0S3NhwWrUgNlQhJ1412</t>
  </si>
  <si>
    <t>MÌ_a</t>
  </si>
  <si>
    <t>Case of the Ex</t>
  </si>
  <si>
    <t>spotify:track:7vWFaMq63AwkFDhS2OAg5u</t>
  </si>
  <si>
    <t>The Time (Dirty Bit)</t>
  </si>
  <si>
    <t>spotify:track:6gmrkN8GvkV1joUxT2B69s</t>
  </si>
  <si>
    <t>Alex Aiono</t>
  </si>
  <si>
    <t>Doesn't Get Better</t>
  </si>
  <si>
    <t>spotify:track:1kPpge9JDLpcj15qgrPbYX</t>
  </si>
  <si>
    <t>Owl City and Carly Rae Jepsen</t>
  </si>
  <si>
    <t>Good Time</t>
  </si>
  <si>
    <t>spotify:track:0ltBH1JNzSvQJPjJpvTu9B</t>
  </si>
  <si>
    <t>Flo Rida</t>
  </si>
  <si>
    <t>Whistle</t>
  </si>
  <si>
    <t>spotify:track:58FUwmyGUqkt53YPUcm7cJ</t>
  </si>
  <si>
    <t>Keri Hilson featuring Kanye West and Ne-Yo</t>
  </si>
  <si>
    <t>Knock You Down</t>
  </si>
  <si>
    <t>spotify:track:03UrZgTINDqvnUMbbIMhql</t>
  </si>
  <si>
    <t>Psy</t>
  </si>
  <si>
    <t>Gangnam Style</t>
  </si>
  <si>
    <t>spotify:track:2ACOWPLUe4A4KuQ5ioD2od</t>
  </si>
  <si>
    <t>Fifth Harmony</t>
  </si>
  <si>
    <t>That's My Girl</t>
  </si>
  <si>
    <t>spotify:track:72i7uzzu8ImxvCxK6AX4bX</t>
  </si>
  <si>
    <t>Ashlyne Huff</t>
  </si>
  <si>
    <t>Heart of Gold</t>
  </si>
  <si>
    <t>spotify:track:6YPjNbDJQN3pxI55ho1NAT</t>
  </si>
  <si>
    <t>Kesha featuring Juicy J</t>
  </si>
  <si>
    <t>Crazy Kids (Remix)</t>
  </si>
  <si>
    <t>spotify:track:2renBQKATbkVYjfSuvYWw8</t>
  </si>
  <si>
    <t>What's Left of Me</t>
  </si>
  <si>
    <t>spotify:track:0prNGof3XqfTvNDxHonvdK</t>
  </si>
  <si>
    <t>Scars to Your Beautiful</t>
  </si>
  <si>
    <t>spotify:track:0pwYLVXVknPSGUQb39cePC</t>
  </si>
  <si>
    <t>Justin Bieber featuring Big Sean</t>
  </si>
  <si>
    <t>As Long as You Love Me</t>
  </si>
  <si>
    <t>spotify:track:3528IXKpbb7OMjdjWYlbfD</t>
  </si>
  <si>
    <t>Neon Trees</t>
  </si>
  <si>
    <t>Everybody Talks</t>
  </si>
  <si>
    <t>spotify:track:7J9kqM3KFem6P3uSsyitIZ</t>
  </si>
  <si>
    <t>Aanysa</t>
  </si>
  <si>
    <t>Burn Break Crash</t>
  </si>
  <si>
    <t>spotify:track:62nm5Ay0pIYt8Z54UQrghu</t>
  </si>
  <si>
    <t>Praise You (Radio Edit)</t>
  </si>
  <si>
    <t>spotify:track:6n9yCXvLhnYMgJIiIcMu7D</t>
  </si>
  <si>
    <t>Rockstar</t>
  </si>
  <si>
    <t>spotify:track:7yCPwWs66K8Ba5lFuU2bcx</t>
  </si>
  <si>
    <t>All the Small Things</t>
  </si>
  <si>
    <t>spotify:track:1yjY7rpaAQvKwpdUliHx0d</t>
  </si>
  <si>
    <t>Paramore</t>
  </si>
  <si>
    <t>Still Into You</t>
  </si>
  <si>
    <t>spotify:track:1TZvD2BFHRcwjKdUebtkDd</t>
  </si>
  <si>
    <t>Alx Veliz</t>
  </si>
  <si>
    <t>Dancing Kizomba (English Version)</t>
  </si>
  <si>
    <t>spotify:track:46MDLc0Yip6xCMSsdePOAU</t>
  </si>
  <si>
    <t>Cheers (Drink to That)</t>
  </si>
  <si>
    <t>spotify:track:39uSkkcWYzcNgQzYvX97yz</t>
  </si>
  <si>
    <t>The Score</t>
  </si>
  <si>
    <t>Oh My Love</t>
  </si>
  <si>
    <t>spotify:track:7MmG8p0F9N3C4AXdK6o6Eb</t>
  </si>
  <si>
    <t>Calvin Harris featuring Ellie Goulding</t>
  </si>
  <si>
    <t>Outside</t>
  </si>
  <si>
    <t>spotify:track:54v6i8c1hAFyJ85JwdCE42</t>
  </si>
  <si>
    <t>Blessid Union of Souls</t>
  </si>
  <si>
    <t>Hey Leonardo (She Likes Me for Me)</t>
  </si>
  <si>
    <t>spotify:track:3DmW6y7wTEYHJZlLo1r6XJ</t>
  </si>
  <si>
    <t>Becky G</t>
  </si>
  <si>
    <t>Shower</t>
  </si>
  <si>
    <t>spotify:track:4DBscf5jTXGHL5hyBobKgR</t>
  </si>
  <si>
    <t>The Young Wild</t>
  </si>
  <si>
    <t>Not a One</t>
  </si>
  <si>
    <t>spotify:track:5619Ojc6t9evEEs3B7Drhe</t>
  </si>
  <si>
    <t>Metro Station</t>
  </si>
  <si>
    <t>Shake It</t>
  </si>
  <si>
    <t>spotify:track:21GwG8Alj5Duat0I0IkE9R</t>
  </si>
  <si>
    <t>Godsmack</t>
  </si>
  <si>
    <t>Serenity</t>
  </si>
  <si>
    <t>spotify:track:0UlHiqi7seV02XNHLMtfGK</t>
  </si>
  <si>
    <t>Turn Up the Music</t>
  </si>
  <si>
    <t>spotify:track:41nT1Sp6ChR65FbsdLlFHW</t>
  </si>
  <si>
    <t>Bootylicious</t>
  </si>
  <si>
    <t>spotify:track:1k2NovMHKHhgGsHxg0aYAS</t>
  </si>
  <si>
    <t>T.I. featuring Justin Timberlake</t>
  </si>
  <si>
    <t>Dead and Gone</t>
  </si>
  <si>
    <t>spotify:track:2YVCkTYJpv5jelYrHYoEG8</t>
  </si>
  <si>
    <t>Lady Antebellum</t>
  </si>
  <si>
    <t>I Run to You</t>
  </si>
  <si>
    <t>spotify:track:3cHyrEgdyYRjgJKSOiOtcS</t>
  </si>
  <si>
    <t>Pitbull featuring Kesha</t>
  </si>
  <si>
    <t>Timber</t>
  </si>
  <si>
    <t>spotify:track:0JEqGkvUiMTQmFY6sgL9kg</t>
  </si>
  <si>
    <t>Alicia Keys</t>
  </si>
  <si>
    <t>No One</t>
  </si>
  <si>
    <t>spotify:track:5nXrQSvdyp19uYNFncDR40</t>
  </si>
  <si>
    <t>Justin Timberlake</t>
  </si>
  <si>
    <t>Take Back the Night</t>
  </si>
  <si>
    <t>spotify:track:7FpoD2ZlcBSj05rEHSZoiB</t>
  </si>
  <si>
    <t>Who Knew</t>
  </si>
  <si>
    <t>spotify:track:5AE7wPSIZ5f9hcgBA83nC6</t>
  </si>
  <si>
    <t>Doesn't Really Matter</t>
  </si>
  <si>
    <t>spotify:track:0AiTIiCQ15NW8QHQwSxKuR</t>
  </si>
  <si>
    <t>Backstreet Boys</t>
  </si>
  <si>
    <t>Drowning</t>
  </si>
  <si>
    <t>spotify:track:2nvC4i2aMo4CzRjRflysah</t>
  </si>
  <si>
    <t>In My Place</t>
  </si>
  <si>
    <t>spotify:track:70jb2bIurVzYfxhhsRd4ew</t>
  </si>
  <si>
    <t>Mindless Behavior</t>
  </si>
  <si>
    <t>My Girl</t>
  </si>
  <si>
    <t>spotify:track:6ua8mbyHXTHpAmGyGpFAS2</t>
  </si>
  <si>
    <t>Kylie Minogue</t>
  </si>
  <si>
    <t>Love at First Sight</t>
  </si>
  <si>
    <t>spotify:track:7icROppj4Z12Nr0xGgxWFJ</t>
  </si>
  <si>
    <t>Gwen Stefani</t>
  </si>
  <si>
    <t>What You Waiting For?</t>
  </si>
  <si>
    <t>spotify:track:2zFF6jG5hQArbzcXz3KUWk</t>
  </si>
  <si>
    <t>Cool for the Summer</t>
  </si>
  <si>
    <t>spotify:track:1oew3nFNY3vMacJAsvry0S</t>
  </si>
  <si>
    <t>Rixton</t>
  </si>
  <si>
    <t>Me and My Broken Heart</t>
  </si>
  <si>
    <t>spotify:track:5tXyNhNcsnn7HbcABntOSf</t>
  </si>
  <si>
    <t>Usher featuring Pitbull</t>
  </si>
  <si>
    <t>DJ Got Us Fallin' in Love</t>
  </si>
  <si>
    <t>spotify:track:6nek1Nin9q48AVZcWs9e9D</t>
  </si>
  <si>
    <t>Paradise</t>
  </si>
  <si>
    <t>spotify:track:2x5qF66rFO6DERBMNkQAqn</t>
  </si>
  <si>
    <t>(There's Gotta Be) More to Life</t>
  </si>
  <si>
    <t>spotify:track:0Y1MWB026LYxGvhq4EcMiC</t>
  </si>
  <si>
    <t>Charli XCX</t>
  </si>
  <si>
    <t>Boom Clap</t>
  </si>
  <si>
    <t>spotify:track:2ydUT1pFhuLDnouelIv4WH</t>
  </si>
  <si>
    <t>The Rock Show</t>
  </si>
  <si>
    <t>spotify:track:24LS4lQShWyixJ0ZrJXfJ5</t>
  </si>
  <si>
    <t>Calvin Harris featuring Florence Welch</t>
  </si>
  <si>
    <t>Sweet Nothing</t>
  </si>
  <si>
    <t>spotify:track:7nPMEaHqwvkdJD7Y8Yb7iJ</t>
  </si>
  <si>
    <t>ATC</t>
  </si>
  <si>
    <t>Around the World (La La La La La)</t>
  </si>
  <si>
    <t>spotify:track:11EX5yhxr9Ihl3IN1asrfK</t>
  </si>
  <si>
    <t>Need You Now</t>
  </si>
  <si>
    <t>spotify:track:2stPxcgjdSImK7Gizl8ZUN</t>
  </si>
  <si>
    <t>Aloe Blacc</t>
  </si>
  <si>
    <t>The Man</t>
  </si>
  <si>
    <t>spotify:track:4zIaXqKCXZs02eB6jEe5Mf</t>
  </si>
  <si>
    <t>Alexandra Stan</t>
  </si>
  <si>
    <t>Mr. Saxobeat</t>
  </si>
  <si>
    <t>spotify:track:1nZzRJbFvCEct3uzu04ZoL</t>
  </si>
  <si>
    <t>Part of Me</t>
  </si>
  <si>
    <t>spotify:track:5OGkKx8jP0A5KSULEc6XYZ</t>
  </si>
  <si>
    <t>Colbie Caillat</t>
  </si>
  <si>
    <t>Realize</t>
  </si>
  <si>
    <t>spotify:track:7huo2wvrCgRucUsjdSDLQV</t>
  </si>
  <si>
    <t>Ain't No Other Man</t>
  </si>
  <si>
    <t>spotify:track:3NcO4jGK1Opb5ea0mYLpxb</t>
  </si>
  <si>
    <t>Good Feeling</t>
  </si>
  <si>
    <t>spotify:track:3yjGZ9mlBxlGih186finfS</t>
  </si>
  <si>
    <t>Walk On</t>
  </si>
  <si>
    <t>spotify:track:1X1DWw2pcNZ8zSub3uhlNz</t>
  </si>
  <si>
    <t>The Script featuring will.i.am</t>
  </si>
  <si>
    <t>Hall of Fame</t>
  </si>
  <si>
    <t>spotify:track:1JURww012QnWAw0zZXi6Aa</t>
  </si>
  <si>
    <t>The Click Five</t>
  </si>
  <si>
    <t>Just the Girl</t>
  </si>
  <si>
    <t>spotify:track:5AdFiDqYP1E0OwXyUt9UGI</t>
  </si>
  <si>
    <t>Greyson Chance</t>
  </si>
  <si>
    <t>Waiting Outside the Lines</t>
  </si>
  <si>
    <t>spotify:track:5uHYcK0nbEYgRaFTY5BqnP</t>
  </si>
  <si>
    <t>B.o.B featuring Rivers Cuomo</t>
  </si>
  <si>
    <t>Magic</t>
  </si>
  <si>
    <t>spotify:track:46F2qArLwz8WT1qJ2bNRfR</t>
  </si>
  <si>
    <t>Foxes</t>
  </si>
  <si>
    <t>Youth</t>
  </si>
  <si>
    <t>spotify:track:2n7cpI2UeigdLc14ylbfdm</t>
  </si>
  <si>
    <t>Days Difference</t>
  </si>
  <si>
    <t>Speakers</t>
  </si>
  <si>
    <t>spotify:track:6dg3YP9BFBaNusHrIPmOtb</t>
  </si>
  <si>
    <t>Jessica Sutta</t>
  </si>
  <si>
    <t>Show Me</t>
  </si>
  <si>
    <t>spotify:track:3RKN7SMcpzFjyoqQj9jfl7</t>
  </si>
  <si>
    <t>Far East Movement featuring The Cataracs &amp; Dev</t>
  </si>
  <si>
    <t>Like a G6</t>
  </si>
  <si>
    <t>spotify:track:7Gkphzdh5ouurEt7JT49Yu</t>
  </si>
  <si>
    <t>Come &amp; Get It</t>
  </si>
  <si>
    <t>spotify:track:2a03afRiyAbNAleOByVju4</t>
  </si>
  <si>
    <t>Lloyd</t>
  </si>
  <si>
    <t>Get It Shawty</t>
  </si>
  <si>
    <t>spotify:track:4E6cwWJWZw2zWf7VFbH7wf</t>
  </si>
  <si>
    <t>Sara Bareilles</t>
  </si>
  <si>
    <t>Love Song</t>
  </si>
  <si>
    <t>spotify:track:62zFEHfAYl5kdHYOivj4BC</t>
  </si>
  <si>
    <t>Pitbull featuring Chris Brown</t>
  </si>
  <si>
    <t>International Love</t>
  </si>
  <si>
    <t>spotify:track:5PUawWFG1oIS2NwEcyHaCr</t>
  </si>
  <si>
    <t>Uma Thurman</t>
  </si>
  <si>
    <t>spotify:track:1hPajXXDa8dfTFABNZe2Ri</t>
  </si>
  <si>
    <t>Chiddy Bang featuring Icona Pop</t>
  </si>
  <si>
    <t>Mind Your Manners</t>
  </si>
  <si>
    <t>spotify:track:3oiMJQAWVaxSubJ7b2VUtX</t>
  </si>
  <si>
    <t>Iggy Azalea featuring Charli XCX</t>
  </si>
  <si>
    <t>Fancy</t>
  </si>
  <si>
    <t>spotify:track:40YcuQysJ0KlGQTeGUosTC</t>
  </si>
  <si>
    <t>G-Eazy and Bebe Rexha</t>
  </si>
  <si>
    <t>spotify:track:0AUIjHlr9KfbVoemhhxHS6</t>
  </si>
  <si>
    <t>Yeah 3x</t>
  </si>
  <si>
    <t>spotify:track:2U2ONBrf1HJCDxQlynpD6J</t>
  </si>
  <si>
    <t>Pitbull</t>
  </si>
  <si>
    <t>Back in Time (from Men in Black III)</t>
  </si>
  <si>
    <t>spotify:track:2Bs4jQEGMycglOfWPBqrVG</t>
  </si>
  <si>
    <t>One Direction</t>
  </si>
  <si>
    <t>Steal My Girl</t>
  </si>
  <si>
    <t>spotify:track:1tkRrjk71WZXeKbvw12PuV</t>
  </si>
  <si>
    <t>Connell Cruise</t>
  </si>
  <si>
    <t>Into the Wild</t>
  </si>
  <si>
    <t>spotify:track:3r04p85xiJh9Wqk59YDYdc</t>
  </si>
  <si>
    <t>Usher featuring will.i.am</t>
  </si>
  <si>
    <t>OMG</t>
  </si>
  <si>
    <t>spotify:track:1JCCdiru7fhstOIF4N7WJC</t>
  </si>
  <si>
    <t>Amnesia</t>
  </si>
  <si>
    <t>spotify:track:23oxJmDc1V9uLUSmN2LIvx</t>
  </si>
  <si>
    <t>Yellowcard</t>
  </si>
  <si>
    <t>Ocean Avenue</t>
  </si>
  <si>
    <t>spotify:track:5XfywqPX6XBOdYQNbOaQvy</t>
  </si>
  <si>
    <t>Selena Gomez featuring A$AP Rocky</t>
  </si>
  <si>
    <t>Good for You</t>
  </si>
  <si>
    <t>spotify:track:4CTX9iU2a0Q9vM2T4YMUQL</t>
  </si>
  <si>
    <t>Kelly Rowland</t>
  </si>
  <si>
    <t>Stole</t>
  </si>
  <si>
    <t>spotify:track:1LmN9SSHISbtp9LoaR5ZVJ</t>
  </si>
  <si>
    <t>Payphone</t>
  </si>
  <si>
    <t>spotify:track:6ZNw9Cnc85OeHZrjMAZJfY</t>
  </si>
  <si>
    <t>Spice Girls</t>
  </si>
  <si>
    <t>Goodbye (Single Version)</t>
  </si>
  <si>
    <t>spotify:track:4XRUKxDIn28c7uHEzbGFgj</t>
  </si>
  <si>
    <t>More Than That</t>
  </si>
  <si>
    <t>spotify:track:36YNa8joLwu9yor2TkZbIY</t>
  </si>
  <si>
    <t>Shakira</t>
  </si>
  <si>
    <t>Objection (Tango)</t>
  </si>
  <si>
    <t>spotify:track:7lGKEWMXVWWTt3X71Bv44I</t>
  </si>
  <si>
    <t>Unsteady</t>
  </si>
  <si>
    <t>spotify:track:1V6gIisPpYqgFeWbMLI0bA</t>
  </si>
  <si>
    <t>Heart Attack</t>
  </si>
  <si>
    <t>spotify:track:6Qm9MaditCcx5V62rVHYqu</t>
  </si>
  <si>
    <t>Vanessa Carlton</t>
  </si>
  <si>
    <t>A Thousand Miles</t>
  </si>
  <si>
    <t>spotify:track:2XbfY2O2v3xwedUJ0J2kkr</t>
  </si>
  <si>
    <t>Ne-Yo</t>
  </si>
  <si>
    <t>Closer</t>
  </si>
  <si>
    <t>spotify:track:6ZxrUCaynLgKSUudACOTwj</t>
  </si>
  <si>
    <t>Crossfade</t>
  </si>
  <si>
    <t>Cold</t>
  </si>
  <si>
    <t>spotify:track:55qBw1900pZKfXJ6Q9A2Lc</t>
  </si>
  <si>
    <t>Teenage Dream</t>
  </si>
  <si>
    <t>spotify:track:4VrWlk8IQxevMvERoX08iC</t>
  </si>
  <si>
    <t>Sia</t>
  </si>
  <si>
    <t>Chandelier</t>
  </si>
  <si>
    <t>spotify:track:1fMEUGs5CvRv0VrcJlQITt</t>
  </si>
  <si>
    <t>Andy Grammer</t>
  </si>
  <si>
    <t>Good to Be Alive (Hallelujah)</t>
  </si>
  <si>
    <t>spotify:track:3ABUO9x7CiDg4UlFkk2VPp</t>
  </si>
  <si>
    <t>Crush</t>
  </si>
  <si>
    <t>spotify:track:0QRcOtv4LE9C2QTfbbkL1e</t>
  </si>
  <si>
    <t>Fefe Dobson</t>
  </si>
  <si>
    <t>Everything</t>
  </si>
  <si>
    <t>spotify:track:5mvKuE9Lf9ARVXVXA32kK9</t>
  </si>
  <si>
    <t>Jessie J featuring B.o.B</t>
  </si>
  <si>
    <t>Price Tag</t>
  </si>
  <si>
    <t>spotify:track:0uFehR61JaZQmGKhztycR5</t>
  </si>
  <si>
    <t>Gavin James</t>
  </si>
  <si>
    <t>Bitter Pill</t>
  </si>
  <si>
    <t>spotify:track:1rdreHH1v6kyrx2mFQvLR4</t>
  </si>
  <si>
    <t>Here's to Never Growing Up</t>
  </si>
  <si>
    <t>spotify:track:6sbXGUn9V9ZaLwLdOfpKRE</t>
  </si>
  <si>
    <t>Larger than Life</t>
  </si>
  <si>
    <t>spotify:track:7tDbbfzB1d52lWP8rq8zRZ</t>
  </si>
  <si>
    <t>Joe Budden</t>
  </si>
  <si>
    <t>Pump It Up</t>
  </si>
  <si>
    <t>spotify:track:36pLU2ywVeBKEF0rrKtmCB</t>
  </si>
  <si>
    <t>Naughty Boy featuring Sam Smith</t>
  </si>
  <si>
    <t>La La La</t>
  </si>
  <si>
    <t>spotify:track:0vek0LcCbvcMtj0GkXMMJy</t>
  </si>
  <si>
    <t>Franz Ferdinand</t>
  </si>
  <si>
    <t>Do You Want To</t>
  </si>
  <si>
    <t>spotify:track:7wZUrN8oemZfsEd1CGkbXE</t>
  </si>
  <si>
    <t>Leona Lewis</t>
  </si>
  <si>
    <t>Bleeding Love</t>
  </si>
  <si>
    <t>spotify:track:57ZXcBtCZXSg9TVV5xRdnR</t>
  </si>
  <si>
    <t>Vertigo</t>
  </si>
  <si>
    <t>spotify:track:5tf1VVWniHgryyumXyJM7w</t>
  </si>
  <si>
    <t>Robin Schulz featuring Francesco Yates</t>
  </si>
  <si>
    <t>Sugar</t>
  </si>
  <si>
    <t>spotify:track:0Ji2g9AlYLVHAMG5PJoHPU</t>
  </si>
  <si>
    <t>We R Who We R</t>
  </si>
  <si>
    <t>spotify:track:5nOMJVZ4rsY5PpYiKD15BS</t>
  </si>
  <si>
    <t>JC Chasez</t>
  </si>
  <si>
    <t>Blowin' Me Up (With Her Love)</t>
  </si>
  <si>
    <t>spotify:track:5yaCquc7koPqtgj7v0lwHX</t>
  </si>
  <si>
    <t>Jennifer Lopez</t>
  </si>
  <si>
    <t>Waiting for Tonight</t>
  </si>
  <si>
    <t>spotify:track:56H98l4uinRifnTH8e308N</t>
  </si>
  <si>
    <t>Beastie Boys</t>
  </si>
  <si>
    <t>Ch-Check It Out</t>
  </si>
  <si>
    <t>spotify:track:6dn9ndETOjczUSQO5UhKJa</t>
  </si>
  <si>
    <t>Selena Gomez &amp; the Scene</t>
  </si>
  <si>
    <t>Who Says</t>
  </si>
  <si>
    <t>spotify:track:19MsMKqidf4Iufr9gyu996</t>
  </si>
  <si>
    <t>In My Pocket</t>
  </si>
  <si>
    <t>spotify:track:5a097PAwAVU5MFYVue0xmZ</t>
  </si>
  <si>
    <t>Sonique</t>
  </si>
  <si>
    <t>It Feels So Good</t>
  </si>
  <si>
    <t>spotify:track:0H1OyEooZ5SzBYYdJEzxoy</t>
  </si>
  <si>
    <t>Adam Lambert</t>
  </si>
  <si>
    <t>If I Had You</t>
  </si>
  <si>
    <t>spotify:track:561jH07mF1jHuk7KlaeF0s</t>
  </si>
  <si>
    <t>Eminem</t>
  </si>
  <si>
    <t>Mockingbird</t>
  </si>
  <si>
    <t>spotify:track:5NQJnRpJHRaupdegphntQT</t>
  </si>
  <si>
    <t>Jealous</t>
  </si>
  <si>
    <t>spotify:track:4B3RmT3cGvh8By3WY9pbIx</t>
  </si>
  <si>
    <t>Skyscraper</t>
  </si>
  <si>
    <t>spotify:track:3sckKKIx96cjPXtiqPHCTB</t>
  </si>
  <si>
    <t>Ashanti</t>
  </si>
  <si>
    <t>Only U</t>
  </si>
  <si>
    <t>spotify:track:2rDwdvBma1O1eLzo29p2cr</t>
  </si>
  <si>
    <t>Whataya Want from Me</t>
  </si>
  <si>
    <t>spotify:track:7vS3Y0IKjde7Xg85LWIEdP</t>
  </si>
  <si>
    <t>Ariana Grande featuring Iggy Azalea</t>
  </si>
  <si>
    <t>Problem</t>
  </si>
  <si>
    <t>spotify:track:1fgvJXlcZ7uIddMpqsqw0L</t>
  </si>
  <si>
    <t>Love Don't Cost a Thing</t>
  </si>
  <si>
    <t>spotify:track:4h8VwCb1MTGoLKueQ1WgbD</t>
  </si>
  <si>
    <t>Wake Me Up</t>
  </si>
  <si>
    <t>spotify:track:1MrNveiYvWyKNAMiqn8xS8</t>
  </si>
  <si>
    <t>Thunder</t>
  </si>
  <si>
    <t>spotify:track:1D1nixOVWOxvNfWi0UD7VX</t>
  </si>
  <si>
    <t>Natasha Bedingfield</t>
  </si>
  <si>
    <t>Unwritten</t>
  </si>
  <si>
    <t>spotify:track:3rfhI32Il2hVRKDkuGeeen</t>
  </si>
  <si>
    <t>Pitbull featuring T-Pain</t>
  </si>
  <si>
    <t>Hey Baby (Drop It to the Floor)</t>
  </si>
  <si>
    <t>spotify:track:1Nme6K1PYAh7p7uygyuRdf</t>
  </si>
  <si>
    <t>Jordin Sparks</t>
  </si>
  <si>
    <t>Battlefield</t>
  </si>
  <si>
    <t>spotify:track:7l94dyN2hX9c6wWcZQuOGJ</t>
  </si>
  <si>
    <t>Dangerous Woman</t>
  </si>
  <si>
    <t>spotify:track:2Ozc0me9PV5vlt8cokwdvI</t>
  </si>
  <si>
    <t>Terror Squad featuring Fat Joe &amp; Remy</t>
  </si>
  <si>
    <t>Lean Back</t>
  </si>
  <si>
    <t>spotify:track:77mpDQeHuxUgaxPVcX4OfK</t>
  </si>
  <si>
    <t>Paulina Rubio</t>
  </si>
  <si>
    <t>Don't Say Goodbye (Radio Edit)</t>
  </si>
  <si>
    <t>spotify:track:4orphgwPHHRsdEkfUmANSD</t>
  </si>
  <si>
    <t>Honey, I'm Good.</t>
  </si>
  <si>
    <t>spotify:track:38iU2jg98IZZEIJPrP7aWD</t>
  </si>
  <si>
    <t>Till the World Ends</t>
  </si>
  <si>
    <t>spotify:track:0Hf4aIJpsN4Os2f0y0VqWl</t>
  </si>
  <si>
    <t>Pitbull featuring Christina Aguilera</t>
  </si>
  <si>
    <t>Feel This Moment</t>
  </si>
  <si>
    <t>spotify:track:1OxcIUqVmVYxT6427tbhDW</t>
  </si>
  <si>
    <t>Lenny Kravitz</t>
  </si>
  <si>
    <t>Fly Away</t>
  </si>
  <si>
    <t>spotify:track:6MMAUZfcDKtjbljNowTCuf</t>
  </si>
  <si>
    <t>spotify:track:3tvWMBIblzT5FSjKtIeRR1</t>
  </si>
  <si>
    <t>T.I.</t>
  </si>
  <si>
    <t>Whatever You Like</t>
  </si>
  <si>
    <t>spotify:track:3aQgDeBNn3ENJs8pheM9NH</t>
  </si>
  <si>
    <t>Keith Anderson</t>
  </si>
  <si>
    <t>I Still Miss You</t>
  </si>
  <si>
    <t>spotify:track:5ArQzSBevAdXTxRY6Ulhbq</t>
  </si>
  <si>
    <t>Lukas Graham</t>
  </si>
  <si>
    <t>Mama Said</t>
  </si>
  <si>
    <t>spotify:track:6b8Be6ljOzmkOmFslEb23P</t>
  </si>
  <si>
    <t>24K Magic</t>
  </si>
  <si>
    <t>spotify:track:2IpGdrWvIZipmaxo1YRxw5</t>
  </si>
  <si>
    <t>Trey Songz featuring Nicki Minaj</t>
  </si>
  <si>
    <t>Bottoms Up</t>
  </si>
  <si>
    <t>spotify:track:7K5dzhGda2vRTaAWYI3hrb</t>
  </si>
  <si>
    <t>Just Like Fire (From the Original Motion Picture Alice Through the Looking Glass)</t>
  </si>
  <si>
    <t>spotify:track:0gY2iq0xJPRoIB1PScKSw4</t>
  </si>
  <si>
    <t>Blake Shelton</t>
  </si>
  <si>
    <t>Honey Bee</t>
  </si>
  <si>
    <t>spotify:track:7zV01fgbeq98t6S3qiwEcp</t>
  </si>
  <si>
    <t>Skylar Stecker</t>
  </si>
  <si>
    <t>Crazy Beautiful</t>
  </si>
  <si>
    <t>spotify:track:0mtPNQl5vePVwiI9Vykp7L</t>
  </si>
  <si>
    <t>Havana Brown featuring Pitbull</t>
  </si>
  <si>
    <t>We Run the Night</t>
  </si>
  <si>
    <t>spotify:track:4H1ZiD0aytFHoOiosVmT1w</t>
  </si>
  <si>
    <t>3OH!3</t>
  </si>
  <si>
    <t>Don't Trust Me</t>
  </si>
  <si>
    <t>spotify:track:3JA9Jsuxr4xgHXEawAdCp4</t>
  </si>
  <si>
    <t>Just Can't Get Enough</t>
  </si>
  <si>
    <t>spotify:track:0xMd5bcWTbyXS7wPrBtZA6</t>
  </si>
  <si>
    <t>Burn</t>
  </si>
  <si>
    <t>spotify:track:26rdOwwjC2UnweK3xeS58u</t>
  </si>
  <si>
    <t>Flo Rida featuring Sage the Gemini and Lookas</t>
  </si>
  <si>
    <t>G.D.F.R.</t>
  </si>
  <si>
    <t>spotify:track:3ge54HUrk1ht3EX5SMhIzZ</t>
  </si>
  <si>
    <t>Meghan Trainor</t>
  </si>
  <si>
    <t>No</t>
  </si>
  <si>
    <t>spotify:track:0ZUo4YjG4saFnEJhdWp9Bt</t>
  </si>
  <si>
    <t>Carrie Underwood</t>
  </si>
  <si>
    <t>Before He Cheats</t>
  </si>
  <si>
    <t>spotify:track:3NLrRZoMF0Lx6zTlYqeIo4</t>
  </si>
  <si>
    <t>Here Without You</t>
  </si>
  <si>
    <t>spotify:track:2ICylmg7jCYdOWUFNa8VW7</t>
  </si>
  <si>
    <t>Pussycat Dolls featuring Snoop Dogg</t>
  </si>
  <si>
    <t>Buttons</t>
  </si>
  <si>
    <t>spotify:track:7gpy7sfWPNuOKmUNs3XQYE</t>
  </si>
  <si>
    <t>Fun</t>
  </si>
  <si>
    <t>Carry On</t>
  </si>
  <si>
    <t>spotify:track:1wAXODAAL6hY64ZdhrnjBO</t>
  </si>
  <si>
    <t>Drive By</t>
  </si>
  <si>
    <t>spotify:track:6tUHe4GMGFwsfw8gqfhU6a</t>
  </si>
  <si>
    <t>Ryan Star</t>
  </si>
  <si>
    <t>Stay Awhile</t>
  </si>
  <si>
    <t>spotify:track:5zTzDqrEmseqL2G8ElgBu7</t>
  </si>
  <si>
    <t>What the Hell</t>
  </si>
  <si>
    <t>spotify:track:7fpU0bRJt0SDC8jIgVpbT6</t>
  </si>
  <si>
    <t>Tori Kelly</t>
  </si>
  <si>
    <t>Nobody Love</t>
  </si>
  <si>
    <t>spotify:track:3WZFEgZDpbcPkhrRXFvL8K</t>
  </si>
  <si>
    <t>Jukebox the Ghost</t>
  </si>
  <si>
    <t>Postcard</t>
  </si>
  <si>
    <t>spotify:track:2TfSHkHiFO4gRztVIkggkE</t>
  </si>
  <si>
    <t>Sugar, We're Goin' Down</t>
  </si>
  <si>
    <t>spotify:track:70v5mCvyPRquTyU7qTIU81</t>
  </si>
  <si>
    <t>Everything Is Embarrassing</t>
  </si>
  <si>
    <t>spotify:track:6DEaND0SHv3sC11xobZLiy</t>
  </si>
  <si>
    <t>Sam Hunt</t>
  </si>
  <si>
    <t>Take Your Time</t>
  </si>
  <si>
    <t>spotify:track:16Ah4QqH4mgYVXqfC4mdSd</t>
  </si>
  <si>
    <t>Tory Lanez</t>
  </si>
  <si>
    <t>Luv</t>
  </si>
  <si>
    <t>spotify:track:6sy3LkhNFjJWlaeSMNwQ62</t>
  </si>
  <si>
    <t>Counting Stars</t>
  </si>
  <si>
    <t>spotify:track:4UTcJuLaHwsPPP1bNnTRDt</t>
  </si>
  <si>
    <t>I Told You So</t>
  </si>
  <si>
    <t>spotify:track:3SwlakM6VX47IwG0Wll5ek</t>
  </si>
  <si>
    <t>Nelly Furtado featuring Timbaland</t>
  </si>
  <si>
    <t>Promiscuous</t>
  </si>
  <si>
    <t>spotify:track:1RtnIF8uRwTLxmcR87V6Wo</t>
  </si>
  <si>
    <t>Just Like You</t>
  </si>
  <si>
    <t>spotify:track:2U0pVx4m1Kdm1Gsjjm6iq8</t>
  </si>
  <si>
    <t>Seven Lions featuring Myon, Shane 54 and Tove Lo</t>
  </si>
  <si>
    <t>Strangers</t>
  </si>
  <si>
    <t>spotify:track:5M5mzimlah21xlC1rAuIuY</t>
  </si>
  <si>
    <t>Smash Mouth</t>
  </si>
  <si>
    <t>I'm a Believer</t>
  </si>
  <si>
    <t>spotify:track:0i5el041vd6nxrGEU8QRxy</t>
  </si>
  <si>
    <t>Florida Georgia Line</t>
  </si>
  <si>
    <t>Cruise</t>
  </si>
  <si>
    <t>spotify:track:3VA4sjTMSTTF02hFGmlpJh</t>
  </si>
  <si>
    <t>Crushcrushcrush</t>
  </si>
  <si>
    <t>spotify:track:2YM3VbcVCWk3RMQeAhIiYj</t>
  </si>
  <si>
    <t>Jennette McCurdy</t>
  </si>
  <si>
    <t>Stronger</t>
  </si>
  <si>
    <t>spotify:track:4jRhf3Ut6qLfOudvcJjXJO</t>
  </si>
  <si>
    <t>Jacob Latimore featuring T-Pain</t>
  </si>
  <si>
    <t>Heartbreak Heard Around the World</t>
  </si>
  <si>
    <t>spotify:track:7cQw68C5DPirUJRzy3fOnN</t>
  </si>
  <si>
    <t>Lilly Wood and the Prick and Robin Schulz</t>
  </si>
  <si>
    <t>Prayer in C (Robin Schulz Radio Edit)</t>
  </si>
  <si>
    <t>spotify:track:0aBKFfdyOD1Ttvgv0cfjjJ</t>
  </si>
  <si>
    <t>More</t>
  </si>
  <si>
    <t>spotify:track:15JINEqzVMv3SvJTAXAKED</t>
  </si>
  <si>
    <t>Eminem featuring Rihanna</t>
  </si>
  <si>
    <t>Love the Way You Lie</t>
  </si>
  <si>
    <t>spotify:track:41Fflg7qHiVOD6dEPvsCzO</t>
  </si>
  <si>
    <t>Fifth Harmony featuring Kid Ink</t>
  </si>
  <si>
    <t>Worth It</t>
  </si>
  <si>
    <t>spotify:track:5jrdCoLpJSvHHorevXBATy</t>
  </si>
  <si>
    <t>Katy Perry featuring Juicy J</t>
  </si>
  <si>
    <t>Dark Horse</t>
  </si>
  <si>
    <t>spotify:track:7ksYJ95P5vP87A0GH34CIk</t>
  </si>
  <si>
    <t>Ridin' Solo</t>
  </si>
  <si>
    <t>spotify:track:3VZQshi4COChhXaz7cLP02</t>
  </si>
  <si>
    <t>Icona Pop featuring Charli XCX</t>
  </si>
  <si>
    <t>I Love It</t>
  </si>
  <si>
    <t>spotify:track:0HnaqUxvHP5LaWdmWwJpiS</t>
  </si>
  <si>
    <t>Love Somebody</t>
  </si>
  <si>
    <t>spotify:track:0mBmE1IzBpbhfwEU4nd4ew</t>
  </si>
  <si>
    <t>Dig In</t>
  </si>
  <si>
    <t>spotify:track:1fJFuvU2ldmeAm5nFIHcPP</t>
  </si>
  <si>
    <t>First Date</t>
  </si>
  <si>
    <t>spotify:track:7MQREx2p9bXdqm8WTGVkGI</t>
  </si>
  <si>
    <t>Iggy Azalea featuring MÌ÷</t>
  </si>
  <si>
    <t>Beg for It</t>
  </si>
  <si>
    <t>spotify:track:3qRPc4QpHGNwKFAzCdqwxA</t>
  </si>
  <si>
    <t>Nas</t>
  </si>
  <si>
    <t>Made You Look</t>
  </si>
  <si>
    <t>spotify:track:3LlAyCYU26dvFZBDUIMb7a</t>
  </si>
  <si>
    <t>Demons</t>
  </si>
  <si>
    <t>spotify:track:49eplIHvgCLY8HAgcaWrUb</t>
  </si>
  <si>
    <t>Pitbull featuring John Ryan</t>
  </si>
  <si>
    <t>Fireball</t>
  </si>
  <si>
    <t>spotify:track:17Vry8h1fUTYg8NL6pHhem</t>
  </si>
  <si>
    <t>Chris Lane</t>
  </si>
  <si>
    <t>Fix</t>
  </si>
  <si>
    <t>spotify:track:7LcA7GNjoHC2Z5wGbbVupx</t>
  </si>
  <si>
    <t>Pretty Baby</t>
  </si>
  <si>
    <t>spotify:track:1WkMMavIMc4JZ8cfMmxHkI</t>
  </si>
  <si>
    <t>Can't Stop the Feeling! (Original Song from DreamWorks Animation's Trolls)</t>
  </si>
  <si>
    <t>spotify:track:5BJSZocnCeSNeYMj3iVqM7</t>
  </si>
  <si>
    <t>Love Runs Out</t>
  </si>
  <si>
    <t>spotify:track:6KBYk8OFtod7brGuZ3Y67q</t>
  </si>
  <si>
    <t>Misery</t>
  </si>
  <si>
    <t>spotify:track:2NPxL1QqPrD1a7OLHjVcAP</t>
  </si>
  <si>
    <t>I Can</t>
  </si>
  <si>
    <t>spotify:track:15vtIIsMYcWy78ioXIjwQz</t>
  </si>
  <si>
    <t>Katharine McPhee</t>
  </si>
  <si>
    <t>Had It All</t>
  </si>
  <si>
    <t>spotify:track:4Oq3R4drZZfGWdxbhKrPvb</t>
  </si>
  <si>
    <t>Undo It</t>
  </si>
  <si>
    <t>spotify:track:6GgPsuz0HEO0nrO2T0QhDv</t>
  </si>
  <si>
    <t>Waka Flocka Flame featuring Roscoe Dash &amp; Wale</t>
  </si>
  <si>
    <t>No Hands</t>
  </si>
  <si>
    <t>spotify:track:16Of7eeW44kt0a1M0nitHM</t>
  </si>
  <si>
    <t>Cobra Starship featuring Sabi</t>
  </si>
  <si>
    <t>You Make Me Feel...</t>
  </si>
  <si>
    <t>spotify:track:4L55p6txv9vuCWhpNnY6eY</t>
  </si>
  <si>
    <t>Dip It Low</t>
  </si>
  <si>
    <t>spotify:track:1j8z4TTjJ1YOdoFEDwJTQa</t>
  </si>
  <si>
    <t>Ain't It Fun</t>
  </si>
  <si>
    <t>spotify:track:0Tq5lmyZ2aLuGblJGLDGEv</t>
  </si>
  <si>
    <t>Danny Mercer</t>
  </si>
  <si>
    <t>Who Are You Loving Now?</t>
  </si>
  <si>
    <t>spotify:track:6ooluO7DiEhI1zmK94nRCM</t>
  </si>
  <si>
    <t>Take Me Out</t>
  </si>
  <si>
    <t>spotify:track:4XOKmTc6UQ8YG16wdgNNET</t>
  </si>
  <si>
    <t>Parachute</t>
  </si>
  <si>
    <t>You and Me</t>
  </si>
  <si>
    <t>spotify:track:36ux3YuUsGTWPT8fXclS45</t>
  </si>
  <si>
    <t>Katy Perry featuring Kanye West</t>
  </si>
  <si>
    <t>E.T.</t>
  </si>
  <si>
    <t>spotify:track:1nrackcWUBo87xecPgry2G</t>
  </si>
  <si>
    <t>Millennium</t>
  </si>
  <si>
    <t>spotify:track:0hgOGzUYKKQbQcWDoJpM6H</t>
  </si>
  <si>
    <t>Oleander</t>
  </si>
  <si>
    <t>Why I'm Here</t>
  </si>
  <si>
    <t>spotify:track:4Tn2llBm1g0UlWctmgPL8Z</t>
  </si>
  <si>
    <t>Shut Up and Drive</t>
  </si>
  <si>
    <t>spotify:track:08Ty4imIKiJwamGWHuW0y8</t>
  </si>
  <si>
    <t>The Wiseguys featuring Greg Nice</t>
  </si>
  <si>
    <t>Start the Commotion</t>
  </si>
  <si>
    <t>spotify:track:4XNrMwGx1SqP01sqkGTDmo</t>
  </si>
  <si>
    <t>One More Night</t>
  </si>
  <si>
    <t>spotify:track:4lXMjXH76wpfqu0XIw3YOl</t>
  </si>
  <si>
    <t>G.R.L.</t>
  </si>
  <si>
    <t>Show Me What You Got</t>
  </si>
  <si>
    <t>spotify:track:7LcfRTgAVTs5pQGEQgUEzN</t>
  </si>
  <si>
    <t>Maroon 5 featuring Christina Aguilera</t>
  </si>
  <si>
    <t>Moves like Jagger</t>
  </si>
  <si>
    <t>spotify:track:23L5CiUhw2jV1OIMwthR3S</t>
  </si>
  <si>
    <t>Martin Garrix &amp; Bebe Rexha</t>
  </si>
  <si>
    <t>In the Name of Love</t>
  </si>
  <si>
    <t>spotify:track:6RX5iL93VZ5fKmyvNXvF1r</t>
  </si>
  <si>
    <t>BeyoncÌ©</t>
  </si>
  <si>
    <t>Irreplaceable</t>
  </si>
  <si>
    <t>spotify:track:0PDUDa38GO8lMxLCRc4lL1</t>
  </si>
  <si>
    <t>Zayn</t>
  </si>
  <si>
    <t>Pillowtalk</t>
  </si>
  <si>
    <t>spotify:track:5dXmPzPDTMWmxmpzxAV1JZ</t>
  </si>
  <si>
    <t>City High featuring Eve</t>
  </si>
  <si>
    <t>Caramel (Trackmasters Remix)</t>
  </si>
  <si>
    <t>spotify:track:09pN8ymVAs4VAmMAsWc7lu</t>
  </si>
  <si>
    <t>Kaya Stewart</t>
  </si>
  <si>
    <t>Sleepover</t>
  </si>
  <si>
    <t>spotify:track:2OsEJFTfzfjG4oC92cuP2c</t>
  </si>
  <si>
    <t>Slow Down</t>
  </si>
  <si>
    <t>spotify:track:6fujklziTHa8uoM5OQSfIo</t>
  </si>
  <si>
    <t>Rae Sremmurd featuring Gucci Mane</t>
  </si>
  <si>
    <t>Black Beatles</t>
  </si>
  <si>
    <t>spotify:track:72Nl5JkVhoHtmPkNeyLaSy</t>
  </si>
  <si>
    <t>Eden xo</t>
  </si>
  <si>
    <t>Too Cool to Dance</t>
  </si>
  <si>
    <t>spotify:track:6KI1ZpZWYAJLvmVhCJz65G</t>
  </si>
  <si>
    <t>Grace featuring G-Eazy</t>
  </si>
  <si>
    <t>You Don't Own Me</t>
  </si>
  <si>
    <t>spotify:track:2ZCTP54O2dMSbVrdsg60to</t>
  </si>
  <si>
    <t>Aqua</t>
  </si>
  <si>
    <t>Barbie Girl</t>
  </si>
  <si>
    <t>spotify:track:5Sba0FrkrwQiBCakt2L4g6</t>
  </si>
  <si>
    <t>Cody Simpson</t>
  </si>
  <si>
    <t>All Day</t>
  </si>
  <si>
    <t>spotify:track:33vzOPcd9FRirYGlCu32x4</t>
  </si>
  <si>
    <t>Mary J. Blige</t>
  </si>
  <si>
    <t>Just Fine</t>
  </si>
  <si>
    <t>spotify:track:5zpDHEU12zATwLGvozxPw2</t>
  </si>
  <si>
    <t>Bad Meets Evil featuring Bruno Mars</t>
  </si>
  <si>
    <t>Lighters</t>
  </si>
  <si>
    <t>spotify:track:1iFiByfONHVI62dxIaFZjv</t>
  </si>
  <si>
    <t>TKO</t>
  </si>
  <si>
    <t>spotify:track:3uBbvynFWlF041WzNVHd1d</t>
  </si>
  <si>
    <t>John Legend</t>
  </si>
  <si>
    <t>Used to Love U</t>
  </si>
  <si>
    <t>spotify:track:1pHP4JeQV9wDx87D6qH9hD</t>
  </si>
  <si>
    <t>OK Go</t>
  </si>
  <si>
    <t>Here It Goes Again</t>
  </si>
  <si>
    <t>spotify:track:30cSNer6TV8x2utjULVeQ5</t>
  </si>
  <si>
    <t>SOS</t>
  </si>
  <si>
    <t>spotify:track:3iTlLjwv0KNfQdadx7vNWl</t>
  </si>
  <si>
    <t>Jennifer Love Hewitt</t>
  </si>
  <si>
    <t>BareNaked</t>
  </si>
  <si>
    <t>spotify:track:4wCD0qOFNRu1Q6O3N6ycm4</t>
  </si>
  <si>
    <t>David Archuleta</t>
  </si>
  <si>
    <t>spotify:track:17tDv8WA8IhqE8qzuQn707</t>
  </si>
  <si>
    <t>3OH!3 featuring Kesha</t>
  </si>
  <si>
    <t>My First Kiss</t>
  </si>
  <si>
    <t>spotify:track:7yMiX7n9SBvadzox8T5jzT</t>
  </si>
  <si>
    <t>Gorillaz</t>
  </si>
  <si>
    <t>Clint Eastwood</t>
  </si>
  <si>
    <t>spotify:track:2wKNBWS1mK1BhepVnuylz2</t>
  </si>
  <si>
    <t>Smile</t>
  </si>
  <si>
    <t>spotify:track:7mb6bXx6FpyZxd37Ldz37q</t>
  </si>
  <si>
    <t>Free Energy</t>
  </si>
  <si>
    <t>Bang Pop</t>
  </si>
  <si>
    <t>spotify:track:30ZGbfPsjDNCgL21Qzciuj</t>
  </si>
  <si>
    <t>Kenny Chesney</t>
  </si>
  <si>
    <t>Summertime</t>
  </si>
  <si>
    <t>spotify:track:5UI5evQuKoeHy9OryvRf3z</t>
  </si>
  <si>
    <t>V V Brown featuring Chiddy Bang</t>
  </si>
  <si>
    <t>Children</t>
  </si>
  <si>
    <t>spotify:track:5gdafBEy4PNf3HusHh3qzu</t>
  </si>
  <si>
    <t>Jamie Cullum</t>
  </si>
  <si>
    <t>Wheels</t>
  </si>
  <si>
    <t>spotify:track:6YL5zD4SggAZAQcdPv5r0C</t>
  </si>
  <si>
    <t>Habits (Stay High)</t>
  </si>
  <si>
    <t>spotify:track:0uyZ5ckiIUbFZd3P6RWmrj</t>
  </si>
  <si>
    <t>Daya</t>
  </si>
  <si>
    <t>Hide Away</t>
  </si>
  <si>
    <t>spotify:track:27mhCGdAA8gM7b33KIiB3k</t>
  </si>
  <si>
    <t>Baby Bash featuring T-Pain</t>
  </si>
  <si>
    <t>Cyclone</t>
  </si>
  <si>
    <t>spotify:track:6V4y4uuMAxe2EYDIWNToaH</t>
  </si>
  <si>
    <t>The Last Goodnight</t>
  </si>
  <si>
    <t>Pictures of You</t>
  </si>
  <si>
    <t>spotify:track:2L8cFPItBljPNJgPjTnuIf</t>
  </si>
  <si>
    <t>Rae Sremmurd</t>
  </si>
  <si>
    <t>No Flex Zone</t>
  </si>
  <si>
    <t>spotify:track:3fyMH1t6UPeR5croea9PrR</t>
  </si>
  <si>
    <t>Drake</t>
  </si>
  <si>
    <t>Best I Ever Had</t>
  </si>
  <si>
    <t>spotify:track:2tAtg37styBgPSHzKnJQYB</t>
  </si>
  <si>
    <t>Please Don't Leave Me</t>
  </si>
  <si>
    <t>spotify:track:6Uy6K3KdmUdAfelUp0SeXn</t>
  </si>
  <si>
    <t>Brave</t>
  </si>
  <si>
    <t>spotify:track:0CnD7Hiw6pae6rLsZw5q5W</t>
  </si>
  <si>
    <t>Incomplete</t>
  </si>
  <si>
    <t>spotify:track:6KCa9qGpQ8eCjjFDFwF1r6</t>
  </si>
  <si>
    <t>Everybody</t>
  </si>
  <si>
    <t>spotify:track:0BrgzTEWfI0QZLRJqzJbPa</t>
  </si>
  <si>
    <t>Fall Out Boy featuring John Mayer</t>
  </si>
  <si>
    <t>Beat It</t>
  </si>
  <si>
    <t>spotify:track:6ihL9TjfRjadfEePzXXyVF</t>
  </si>
  <si>
    <t>Gives You Hell</t>
  </si>
  <si>
    <t>spotify:track:5fVZC9GiM4e8vu99W0Xf6J</t>
  </si>
  <si>
    <t>How to Save a Life</t>
  </si>
  <si>
    <t>spotify:track:0nnxf8p851ZR49KFnGWVsB</t>
  </si>
  <si>
    <t>Michael Franti &amp; Spearhead featuring Cherine Anderson</t>
  </si>
  <si>
    <t>Say Hey (I Love You)</t>
  </si>
  <si>
    <t>spotify:track:2QtJA4gbwe1AcanB2p21aP</t>
  </si>
  <si>
    <t>Zedd featuring Hayley Williams</t>
  </si>
  <si>
    <t>Stay the Night</t>
  </si>
  <si>
    <t>spotify:track:7syfIwag7iQM0RwaCfntDi</t>
  </si>
  <si>
    <t>Tristan Prettyman</t>
  </si>
  <si>
    <t>My Oh My</t>
  </si>
  <si>
    <t>spotify:track:2Z2JnZNB7lbUdKR5GynUlV</t>
  </si>
  <si>
    <t>Mims</t>
  </si>
  <si>
    <t>Like This</t>
  </si>
  <si>
    <t>spotify:track:3cfOd4CMv2snFaKAnMdnvK</t>
  </si>
  <si>
    <t>All Star</t>
  </si>
  <si>
    <t>spotify:track:1A8j067qyiNwQnZT0bzUpZ</t>
  </si>
  <si>
    <t>Kungs and Cookin' on 3 Burners</t>
  </si>
  <si>
    <t>This Girl</t>
  </si>
  <si>
    <t>spotify:track:4TsmezEQVSZNNPv5RJ65Ov</t>
  </si>
  <si>
    <t>Pon de Replay</t>
  </si>
  <si>
    <t>spotify:track:7JIuqL4ZqkpfGKQhYlrirs</t>
  </si>
  <si>
    <t>The Only Exception</t>
  </si>
  <si>
    <t>spotify:track:5GorFaKkP2mLREQvhSblIg</t>
  </si>
  <si>
    <t>K-Ci &amp; JoJo</t>
  </si>
  <si>
    <t>All My Life</t>
  </si>
  <si>
    <t>spotify:track:6Zo3wgDE076K2AuiGZF3CS</t>
  </si>
  <si>
    <t>spotify:track:3f3omU8n47Mqyab5nCaGyT</t>
  </si>
  <si>
    <t>Because of You</t>
  </si>
  <si>
    <t>spotify:track:1Ejsu5JglwIgrFW7Bt2GuL</t>
  </si>
  <si>
    <t>Let Me Love You (Until You Learn to Love Yourself)</t>
  </si>
  <si>
    <t>spotify:track:62bOmKYxYg7dhrC6gH9vFn</t>
  </si>
  <si>
    <t>NSYNC</t>
  </si>
  <si>
    <t>Bye Bye Bye</t>
  </si>
  <si>
    <t>spotify:track:0AkQbXGN4KG34TS7xLrM68</t>
  </si>
  <si>
    <t>Kiss You</t>
  </si>
  <si>
    <t>spotify:track:1CkvWZme3pRgbzaxZnTl5X</t>
  </si>
  <si>
    <t>Adele</t>
  </si>
  <si>
    <t>Rolling in the Deep</t>
  </si>
  <si>
    <t>spotify:track:38SMnh6mMS6ss1tEpD0Aun</t>
  </si>
  <si>
    <t>Daniel Skye</t>
  </si>
  <si>
    <t>spotify:track:2NkDQv8y2DkoYQURdiZCOk</t>
  </si>
  <si>
    <t>Timbaland featuring Keri Hilson &amp; D.O.E.</t>
  </si>
  <si>
    <t>The Way I Are</t>
  </si>
  <si>
    <t>spotify:track:72by3Re4C3eVEBXvsUo0zV</t>
  </si>
  <si>
    <t>John Legend featuring AndrÌ© 3000</t>
  </si>
  <si>
    <t>Green Light</t>
  </si>
  <si>
    <t>spotify:track:5qRoxgyvBkvgvOo20wtPhS</t>
  </si>
  <si>
    <t>Nelly Furtado</t>
  </si>
  <si>
    <t>Say It Right</t>
  </si>
  <si>
    <t>spotify:track:5K5LbSTVuKKe1KGMNfBgIW</t>
  </si>
  <si>
    <t>Rock That Body</t>
  </si>
  <si>
    <t>spotify:track:7nnWIPM5hwE3DaUBkvOIpy</t>
  </si>
  <si>
    <t>Drive</t>
  </si>
  <si>
    <t>spotify:track:4nVBt6MZDDP6tRVdQTgxJg</t>
  </si>
  <si>
    <t>Story of My Life</t>
  </si>
  <si>
    <t>spotify:track:2K1MhduqSRF4Q2agqEtnEh</t>
  </si>
  <si>
    <t>Janet</t>
  </si>
  <si>
    <t>Feedback</t>
  </si>
  <si>
    <t>spotify:track:0Oe49j06Bjrxs8PltuVeaW</t>
  </si>
  <si>
    <t>Jennifer Lopez featuring Pitbull</t>
  </si>
  <si>
    <t>On the Floor</t>
  </si>
  <si>
    <t>spotify:track:0H0yDqmQAZ9gGvLka1bqeO</t>
  </si>
  <si>
    <t>98 Degrees</t>
  </si>
  <si>
    <t>Give Me Just One Night (Una Noche)</t>
  </si>
  <si>
    <t>spotify:track:21zOTXChnP7ghgn3fVKuSF</t>
  </si>
  <si>
    <t>Sweet Thing</t>
  </si>
  <si>
    <t>spotify:track:3sOa3kpd6K9a3zAfZdfg8l</t>
  </si>
  <si>
    <t>Lil Playy featuring Matthew Koma</t>
  </si>
  <si>
    <t>Birthday Dress</t>
  </si>
  <si>
    <t>spotify:track:0Zr8z1TgQl27P3qYqQltG2</t>
  </si>
  <si>
    <t>Elijah Blake</t>
  </si>
  <si>
    <t>I Just Wanna...</t>
  </si>
  <si>
    <t>spotify:track:2dRvMEW4EwySxRUtEamSfG</t>
  </si>
  <si>
    <t>The Heart Wants What It Wants</t>
  </si>
  <si>
    <t>spotify:track:06ySRvEnrUxZZ9ml3VO2TY</t>
  </si>
  <si>
    <t>You're My Better Half</t>
  </si>
  <si>
    <t>spotify:track:4PtvJM73075KqXcQrt8MbT</t>
  </si>
  <si>
    <t>Madonna featuring Nicki Minaj and M.I.A.</t>
  </si>
  <si>
    <t>Give Me All Your Luvin'</t>
  </si>
  <si>
    <t>spotify:track:1CwNogTShsnsn1C8UhRmYX</t>
  </si>
  <si>
    <t>Rise</t>
  </si>
  <si>
    <t>spotify:track:65mxB9IWpmVo4qUjdGSxRB</t>
  </si>
  <si>
    <t>Girls &amp; Boys</t>
  </si>
  <si>
    <t>spotify:track:4bCOAuhvjsxbVBM5MM8oik</t>
  </si>
  <si>
    <t>When We Stand Together</t>
  </si>
  <si>
    <t>spotify:track:5fsQSDifYpjfbCqvZKPVBj</t>
  </si>
  <si>
    <t>She's Kinda Hot</t>
  </si>
  <si>
    <t>spotify:track:2tJulUYLDKOg9XrtVkMgcJ</t>
  </si>
  <si>
    <t>Grenade</t>
  </si>
  <si>
    <t>spotify:track:4bZd0nRuX8HyjeXAUBczvm</t>
  </si>
  <si>
    <t>I Cry</t>
  </si>
  <si>
    <t>spotify:track:3OWsm3HE35S9x3fgY8tbgh</t>
  </si>
  <si>
    <t>3LW</t>
  </si>
  <si>
    <t>Playas Gon' Play</t>
  </si>
  <si>
    <t>spotify:track:4TQOC2AhsD96oPxAC6NB6w</t>
  </si>
  <si>
    <t>Blackstreet &amp; MÌ_a featuring Mase &amp; Blinky Blink</t>
  </si>
  <si>
    <t>Take Me There</t>
  </si>
  <si>
    <t>spotify:track:1H9AbpMAShkCVuaPAR6CHf</t>
  </si>
  <si>
    <t>F**kin' Perfect</t>
  </si>
  <si>
    <t>spotify:track:4UuHWIkAWnN176A2rx7YFB</t>
  </si>
  <si>
    <t>Bowling for Soup</t>
  </si>
  <si>
    <t>spotify:track:6SPD3JwwRejBhCDiQAQ4he</t>
  </si>
  <si>
    <t>Run It!</t>
  </si>
  <si>
    <t>spotify:track:5IVuqXILoxVWvWEPm82Jxr</t>
  </si>
  <si>
    <t>Crazy in Love</t>
  </si>
  <si>
    <t>spotify:track:1oJSAzNyTUCm36zhFYMcAZ</t>
  </si>
  <si>
    <t>Counting Crows featuring Vanessa Carlton</t>
  </si>
  <si>
    <t>Big Yellow Taxi</t>
  </si>
  <si>
    <t>spotify:track:1gihuPhrLraKYrJMAEONyc</t>
  </si>
  <si>
    <t>Calvin Harris</t>
  </si>
  <si>
    <t>Feel So Close</t>
  </si>
  <si>
    <t>spotify:track:36gOOIQaBwXZVKL5z2vC3Z</t>
  </si>
  <si>
    <t>Mr. Cheeks</t>
  </si>
  <si>
    <t>Lights, Camera, Action!</t>
  </si>
  <si>
    <t>spotify:track:1cOyWWUr3oXJIxY0AjJEx9</t>
  </si>
  <si>
    <t>Troye Sivan</t>
  </si>
  <si>
    <t>spotify:track:1mxTCArq9EhSg4QPGqhjhT</t>
  </si>
  <si>
    <t>The Call (Neptunes Remix)</t>
  </si>
  <si>
    <t>spotify:track:3PJivN5BZ2ckFa22igIu4a</t>
  </si>
  <si>
    <t>Crazy</t>
  </si>
  <si>
    <t>spotify:track:3DamFFqW32WihKkTVlwTYQ</t>
  </si>
  <si>
    <t>Owl City</t>
  </si>
  <si>
    <t>Fireflies</t>
  </si>
  <si>
    <t>spotify:track:0obBFrPYkSoBJbvHfUIhkv</t>
  </si>
  <si>
    <t>Sexy and I Know It</t>
  </si>
  <si>
    <t>spotify:track:6Z8R6UsFuGXGtiIxiD8ISb</t>
  </si>
  <si>
    <t>Capital Cities</t>
  </si>
  <si>
    <t>Safe and Sound</t>
  </si>
  <si>
    <t>spotify:track:4wkQmYpAaMe41Rc3sYZ7Vz</t>
  </si>
  <si>
    <t>Calvin Harris featuring Ne-Yo</t>
  </si>
  <si>
    <t>Let's Go</t>
  </si>
  <si>
    <t>spotify:track:6rkAY9rk1NTFB94QxG3LJR</t>
  </si>
  <si>
    <t>YoÌ_ and I</t>
  </si>
  <si>
    <t>spotify:track:1uigwk5hNV84zRd5YQQRTk</t>
  </si>
  <si>
    <t>Pocketful of Sunshine</t>
  </si>
  <si>
    <t>spotify:track:7AUfOfYTfiHhgg2Pw1aTpw</t>
  </si>
  <si>
    <t>I'm Glad</t>
  </si>
  <si>
    <t>spotify:track:08uGhvS5MfBk7crUCpnjva</t>
  </si>
  <si>
    <t>Jamie Foxx featuring T-Pain</t>
  </si>
  <si>
    <t>Blame It</t>
  </si>
  <si>
    <t>spotify:track:7aKWgpecgLEqisWcXPElDl</t>
  </si>
  <si>
    <t>Cake</t>
  </si>
  <si>
    <t>Never There</t>
  </si>
  <si>
    <t>spotify:track:4lCv7b86sLynZbXhfScfm2</t>
  </si>
  <si>
    <t>Firework</t>
  </si>
  <si>
    <t>spotify:track:5OMwQFBcte0aWFJFqrr5oj</t>
  </si>
  <si>
    <t>Tik Tok</t>
  </si>
  <si>
    <t>spotify:track:27PmvZoffODNFW2p7ehZTQ</t>
  </si>
  <si>
    <t>Kent Jones</t>
  </si>
  <si>
    <t>Don't Mind</t>
  </si>
  <si>
    <t>spotify:track:1EZhWJQFf85g6d055Gji8c</t>
  </si>
  <si>
    <t>Candy</t>
  </si>
  <si>
    <t>spotify:track:5pQtfVIaQvINzl0XIGKNrC</t>
  </si>
  <si>
    <t>Gretchen Wilson</t>
  </si>
  <si>
    <t>Redneck Woman</t>
  </si>
  <si>
    <t>spotify:track:0uf3tXeETdWuU3a5XSNwUA</t>
  </si>
  <si>
    <t>Jessica Simpson</t>
  </si>
  <si>
    <t>Angels</t>
  </si>
  <si>
    <t>spotify:track:1fBl642IhJOE5U319Gy2Go</t>
  </si>
  <si>
    <t>Animal</t>
  </si>
  <si>
    <t>spotify:track:2Zj4FUsMtu9PMuJsHbGbdv</t>
  </si>
  <si>
    <t>Applause</t>
  </si>
  <si>
    <t>spotify:track:4lq4yY0y3XqDQZsx03ITaH</t>
  </si>
  <si>
    <t>I'll Never Break Your Heart</t>
  </si>
  <si>
    <t>spotify:track:0mTftzPRyTN311VgIutM2S</t>
  </si>
  <si>
    <t>A Little Bit</t>
  </si>
  <si>
    <t>spotify:track:5Y77SQxEr1eiofPeUTPHxM</t>
  </si>
  <si>
    <t>Lloyd featuring Lil Wayne</t>
  </si>
  <si>
    <t>You</t>
  </si>
  <si>
    <t>spotify:track:2y4lAQpi5VTNLu2ldeTdUH</t>
  </si>
  <si>
    <t>We Can't Stop</t>
  </si>
  <si>
    <t>spotify:track:4Zan58qnlhy90gzBVbzYst</t>
  </si>
  <si>
    <t>Clairity</t>
  </si>
  <si>
    <t>spotify:track:22VdIZQfgXJea34mQxlt81</t>
  </si>
  <si>
    <t>Can't Feel My Face</t>
  </si>
  <si>
    <t>spotify:track:455AfCsOhhLPRc68sE01D8</t>
  </si>
  <si>
    <t>Last Friday Night (T.G.I.F.)</t>
  </si>
  <si>
    <t>spotify:track:1Cwsd5xI8CajJz795oy4XF</t>
  </si>
  <si>
    <t>New Radicals</t>
  </si>
  <si>
    <t>You Get What You Give</t>
  </si>
  <si>
    <t>spotify:track:7pNJ1T9TGbVbNHKaLhhPri</t>
  </si>
  <si>
    <t>With You</t>
  </si>
  <si>
    <t>spotify:track:16gvJsVyauI16RqmOrwJJk</t>
  </si>
  <si>
    <t>Again</t>
  </si>
  <si>
    <t>spotify:track:1gFMesXcHHtIUhwzxYFOtz</t>
  </si>
  <si>
    <t>A Public Affair</t>
  </si>
  <si>
    <t>spotify:track:20p0zLM8245xqgmMotPGA9</t>
  </si>
  <si>
    <t>Akon featuring Styles P</t>
  </si>
  <si>
    <t>Locked Up</t>
  </si>
  <si>
    <t>spotify:track:3Q4WeJmzxuDpzMu9QjQqbM</t>
  </si>
  <si>
    <t>Fergie</t>
  </si>
  <si>
    <t>Big Girls Don't Cry</t>
  </si>
  <si>
    <t>spotify:track:6EEeAog1VBZ6FrYpJ2q3WF</t>
  </si>
  <si>
    <t>Too Little Too Late</t>
  </si>
  <si>
    <t>spotify:track:2AIsNkRfukTnsq2MtiECMh</t>
  </si>
  <si>
    <t>Moby</t>
  </si>
  <si>
    <t>We Are All Made of Stars</t>
  </si>
  <si>
    <t>spotify:track:28ydQDIdJSKTJXM3YQph9r</t>
  </si>
  <si>
    <t>Parson James</t>
  </si>
  <si>
    <t>Temple</t>
  </si>
  <si>
    <t>spotify:track:0171XsIM2xyeXRr6wsugEI</t>
  </si>
  <si>
    <t>Boyfriend</t>
  </si>
  <si>
    <t>spotify:track:6cSQSGa2tFufkTdlKs2TKN</t>
  </si>
  <si>
    <t>U + Ur Hand</t>
  </si>
  <si>
    <t>spotify:track:4rMNgxEwGWoPHIUcvB5BrB</t>
  </si>
  <si>
    <t>It Will Rain</t>
  </si>
  <si>
    <t>spotify:track:6UmtL9oAPxl4ixd0YKtKnH</t>
  </si>
  <si>
    <t>Sublime</t>
  </si>
  <si>
    <t>What I Got (Clean Version)</t>
  </si>
  <si>
    <t>spotify:track:73ttVGkr6lEjsnhW3SzBVA</t>
  </si>
  <si>
    <t>Trap Beckham</t>
  </si>
  <si>
    <t>Birthday Chick</t>
  </si>
  <si>
    <t>spotify:track:3kiZ0cCAjRqLOMmaYk22ty</t>
  </si>
  <si>
    <t>Petey Pablo</t>
  </si>
  <si>
    <t>Raise Up (All Cities Remix)</t>
  </si>
  <si>
    <t>spotify:track:2BdSaGVMxZzEeJYjjrlo6n</t>
  </si>
  <si>
    <t>American Woman</t>
  </si>
  <si>
    <t>spotify:track:3c7vquF4xacCmFrxztLUVH</t>
  </si>
  <si>
    <t>Smallpools</t>
  </si>
  <si>
    <t>Dreaming</t>
  </si>
  <si>
    <t>spotify:track:1pKeFVVUOPjFsOABub0OaV</t>
  </si>
  <si>
    <t>Ariana Grande featuring Nicki Minaj</t>
  </si>
  <si>
    <t>Side to Side</t>
  </si>
  <si>
    <t>spotify:track:1HCPjfa02m5JwcO37LHfYb</t>
  </si>
  <si>
    <t>ThalÌ_a featuring Fat Joe</t>
  </si>
  <si>
    <t>I Want You</t>
  </si>
  <si>
    <t>spotify:track:4KAEU3FgnsyFMzAaYXvocw</t>
  </si>
  <si>
    <t>Pitbull featuring TJR</t>
  </si>
  <si>
    <t>Don't Stop the Party</t>
  </si>
  <si>
    <t>spotify:track:3AszgPDZd9q0DpDFt4HFBy</t>
  </si>
  <si>
    <t>Outkast</t>
  </si>
  <si>
    <t>Hey Ya!</t>
  </si>
  <si>
    <t>spotify:track:4ouIWkFspNZYFO87Gdufxb</t>
  </si>
  <si>
    <t>Where Are We Runnin'?</t>
  </si>
  <si>
    <t>spotify:track:12lZTPlXwUtrQuhEty6098</t>
  </si>
  <si>
    <t>Raise Your Glass</t>
  </si>
  <si>
    <t>spotify:track:6dEnpbXyamib2EJnRhTt0G</t>
  </si>
  <si>
    <t>Justin Timberlake featuring Jay Z</t>
  </si>
  <si>
    <t>Suit &amp; Tie</t>
  </si>
  <si>
    <t>spotify:track:0ua0Go4NN4Td7l0Zre6Ce3</t>
  </si>
  <si>
    <t>Kanye West featuring Dwele</t>
  </si>
  <si>
    <t>Flashing Lights</t>
  </si>
  <si>
    <t>spotify:track:2V4bv1fNWfTcyRJKmej6Sj</t>
  </si>
  <si>
    <t>Cooler Than Me</t>
  </si>
  <si>
    <t>spotify:track:08VeSelC8QYD1MIsK9gAmY</t>
  </si>
  <si>
    <t>Eiffel 65</t>
  </si>
  <si>
    <t>Blue (Da Ba Dee)</t>
  </si>
  <si>
    <t>spotify:track:1BZG99C7Co1r6QUC3zaS59</t>
  </si>
  <si>
    <t>Same Old Love</t>
  </si>
  <si>
    <t>spotify:track:4vp2J1l5RD4gMZwGFLfRAu</t>
  </si>
  <si>
    <t>I Gotta Feeling</t>
  </si>
  <si>
    <t>spotify:track:7qZWCIgHBgjyuUBOnGnD9k</t>
  </si>
  <si>
    <t>Dru Hill</t>
  </si>
  <si>
    <t>I Should Be...</t>
  </si>
  <si>
    <t>spotify:track:7EKTo6rVJ3XSS7QTd6ep2j</t>
  </si>
  <si>
    <t>Chris Brown featuring Lil Wayne &amp; Busta Rhymes</t>
  </si>
  <si>
    <t>Look at Me Now</t>
  </si>
  <si>
    <t>spotify:track:25KybV9BOUlvcnv7nN3Pyo</t>
  </si>
  <si>
    <t>In the Night</t>
  </si>
  <si>
    <t>spotify:track:3RLC8jJmDOZwrJ5izaISXr</t>
  </si>
  <si>
    <t>Breathe Carolina</t>
  </si>
  <si>
    <t>Blackout</t>
  </si>
  <si>
    <t>spotify:track:487Dyzs7Xbbk4hIWYyYT80</t>
  </si>
  <si>
    <t>Kandi</t>
  </si>
  <si>
    <t>Don't Think I'm Not</t>
  </si>
  <si>
    <t>spotify:track:7FWuzwapuKHTEyDJIcQOw3</t>
  </si>
  <si>
    <t>Joe featuring Mystikal</t>
  </si>
  <si>
    <t>Stutter (Double Take Remix)</t>
  </si>
  <si>
    <t>spotify:track:0EGuSSpuu9wmHCtvb4PdLO</t>
  </si>
  <si>
    <t>Sit Still, Look Pretty</t>
  </si>
  <si>
    <t>spotify:track:4rwuOirhmby7R1p53UiDEP</t>
  </si>
  <si>
    <t>Trevor Hall</t>
  </si>
  <si>
    <t>Brand New Day</t>
  </si>
  <si>
    <t>spotify:track:3kYZIJOtlxX0YhaNz2j4ld</t>
  </si>
  <si>
    <t>Matthew Koma</t>
  </si>
  <si>
    <t>One Night</t>
  </si>
  <si>
    <t>spotify:track:2l8w0zZVn4AZNuzrht7MRT</t>
  </si>
  <si>
    <t>Love Me like You Do</t>
  </si>
  <si>
    <t>spotify:track:0UZ5D7IZkiR3ZUYl6AK0do</t>
  </si>
  <si>
    <t>Ja Rule featuring Case</t>
  </si>
  <si>
    <t>Livin' It Up</t>
  </si>
  <si>
    <t>spotify:track:7AqISujIaWcY3h5zrOqt5v</t>
  </si>
  <si>
    <t>Cee Lo Green</t>
  </si>
  <si>
    <t>Forget You</t>
  </si>
  <si>
    <t>spotify:track:0ByMNEPAPpOR5H69DVrTNy</t>
  </si>
  <si>
    <t>Don't Stop the Music</t>
  </si>
  <si>
    <t>spotify:track:6ZyNjT2hYvfV5PuW84dp1E</t>
  </si>
  <si>
    <t>Amerie</t>
  </si>
  <si>
    <t>1 Thing</t>
  </si>
  <si>
    <t>spotify:track:6b3b7lILUJqXcp6w9wNQSm</t>
  </si>
  <si>
    <t>Sia featuring Sean Paul</t>
  </si>
  <si>
    <t>Cheap Thrills</t>
  </si>
  <si>
    <t>spotify:track:7yXibbAYi4to5oQTeO738f</t>
  </si>
  <si>
    <t>Ashlee Simpson</t>
  </si>
  <si>
    <t>Pieces of Me</t>
  </si>
  <si>
    <t>spotify:track:3gbBpTdY8lnQwqxNCcf795</t>
  </si>
  <si>
    <t>Bastille</t>
  </si>
  <si>
    <t>Pompeii</t>
  </si>
  <si>
    <t>spotify:track:5XRHGXut00SrJUFmcn2lQF</t>
  </si>
  <si>
    <t>All the Right Moves</t>
  </si>
  <si>
    <t>spotify:track:5QhBKPqsnX1uY9fZNaAtZg</t>
  </si>
  <si>
    <t>spotify:track:5efvxYn0J1q8iuIZBqpDD7</t>
  </si>
  <si>
    <t>That Poppy</t>
  </si>
  <si>
    <t>Lowlife</t>
  </si>
  <si>
    <t>spotify:track:1yKu2MhpwzDXXH2tzG6xoa</t>
  </si>
  <si>
    <t>Weezer</t>
  </si>
  <si>
    <t>Beverly Hills</t>
  </si>
  <si>
    <t>spotify:track:6tKW2g2So84pCTZXE0Furx</t>
  </si>
  <si>
    <t>One Thing</t>
  </si>
  <si>
    <t>spotify:track:00t74gkRAMw83w6GGiAZHw</t>
  </si>
  <si>
    <t>Midnight Red</t>
  </si>
  <si>
    <t>Take Me Home</t>
  </si>
  <si>
    <t>spotify:track:4NOZ35Dhucr6UlVyLOtktd</t>
  </si>
  <si>
    <t>Kardinal Offishall featuring Akon</t>
  </si>
  <si>
    <t>Dangerous</t>
  </si>
  <si>
    <t>spotify:track:6znv7i4Wif5fLwI6OjKHZ4</t>
  </si>
  <si>
    <t>BBMak</t>
  </si>
  <si>
    <t>Back Here</t>
  </si>
  <si>
    <t>spotify:track:6BtmXhTJMM9sBTHeYYASGz</t>
  </si>
  <si>
    <t>It's Time</t>
  </si>
  <si>
    <t>spotify:track:74v5GTzfb9yLnFe96pyghc</t>
  </si>
  <si>
    <t>Charice</t>
  </si>
  <si>
    <t>Note to God</t>
  </si>
  <si>
    <t>spotify:track:3E5XrOtqMAs7p2wKhwgOjf</t>
  </si>
  <si>
    <t>Lady Gaga featuring Colby O'Donis</t>
  </si>
  <si>
    <t>Just Dance</t>
  </si>
  <si>
    <t>spotify:track:4xInIiKipU1mtUogJ3ZdYr</t>
  </si>
  <si>
    <t>American Honey</t>
  </si>
  <si>
    <t>spotify:track:1zhR06V2IkAl1JtklWhBSR</t>
  </si>
  <si>
    <t>Chingy featuring J. Weav</t>
  </si>
  <si>
    <t>One Call Away</t>
  </si>
  <si>
    <t>spotify:track:3hlhefxgyp4MDnN6C2dQ5H</t>
  </si>
  <si>
    <t>All I Have to Give</t>
  </si>
  <si>
    <t>spotify:track:7pNsxfdIiyl1fesIsBamAV</t>
  </si>
  <si>
    <t>BeyoncÌ© and Shakira</t>
  </si>
  <si>
    <t>Beautiful Liar</t>
  </si>
  <si>
    <t>spotify:track:0xwBnVDGM7t5rjDN7AWqx0</t>
  </si>
  <si>
    <t>Mystikal featuring Nivea</t>
  </si>
  <si>
    <t>Danger (Been So Long)</t>
  </si>
  <si>
    <t>spotify:track:1DSJNBNhGZCigg9ll5VeZv</t>
  </si>
  <si>
    <t>(You Drive Me) Crazy</t>
  </si>
  <si>
    <t>spotify:track:2bJvI42r8EF3wxjOuDav4r</t>
  </si>
  <si>
    <t>Pitbull and Ne-Yo</t>
  </si>
  <si>
    <t>Time of Our Lives</t>
  </si>
  <si>
    <t>spotify:track:35o9a4iAfLl5jRmqMX9c1D</t>
  </si>
  <si>
    <t>Shape of My Heart</t>
  </si>
  <si>
    <t>spotify:track:6JW8DqCEOWaj8z5AIx4ugf</t>
  </si>
  <si>
    <t>Jay-Z</t>
  </si>
  <si>
    <t>Excuse Me Miss</t>
  </si>
  <si>
    <t>spotify:track:01DSvNTUsVROjnSF5j3UbD</t>
  </si>
  <si>
    <t>Try</t>
  </si>
  <si>
    <t>spotify:track:4bk78jvK8Fe9YHqruOJW0v</t>
  </si>
  <si>
    <t>Pink featuring Redman</t>
  </si>
  <si>
    <t>Get the Party Started/Sweet Dreams</t>
  </si>
  <si>
    <t>spotify:track:7gUpO6td4OOnu0Lf9vhcIV</t>
  </si>
  <si>
    <t>Lights</t>
  </si>
  <si>
    <t>spotify:track:1y4eb6hmAvsqlDOl3fx9kk</t>
  </si>
  <si>
    <t>Hot n Cold</t>
  </si>
  <si>
    <t>spotify:track:0KqyBk4aVT88TEqBIC8mAP</t>
  </si>
  <si>
    <t>Girl All the Bad Guys Want</t>
  </si>
  <si>
    <t>spotify:track:1VdHooAMVaGXPSty8pifv9</t>
  </si>
  <si>
    <t>Honky Tonk Badonkadonk</t>
  </si>
  <si>
    <t>spotify:track:3B9W8NK6FiaNZCZFIzLdwo</t>
  </si>
  <si>
    <t>In This Diary</t>
  </si>
  <si>
    <t>spotify:track:58s2kRKIymyM254Lja6een</t>
  </si>
  <si>
    <t>Susan Justice</t>
  </si>
  <si>
    <t>Eat Dirt</t>
  </si>
  <si>
    <t>spotify:track:51YhN4y2tOvfI0Sv1hoBRo</t>
  </si>
  <si>
    <t>Kris Allen</t>
  </si>
  <si>
    <t>Live Like We're Dying</t>
  </si>
  <si>
    <t>spotify:track:6FE2iI43OZnszFLuLtvvmg</t>
  </si>
  <si>
    <t>MKTO</t>
  </si>
  <si>
    <t>Classic</t>
  </si>
  <si>
    <t>spotify:track:25sA1vM4BFkTb5cJGWftFo</t>
  </si>
  <si>
    <t>Walk Away</t>
  </si>
  <si>
    <t>spotify:track:0UaMYEvWZi0ZqiDOoHU3YI</t>
  </si>
  <si>
    <t>Missy Elliott featuring Ciara and Fat Man Scoop</t>
  </si>
  <si>
    <t>Lose Control</t>
  </si>
  <si>
    <t>spotify:track:3SVAN3BRByDmHOhKyIDxfC</t>
  </si>
  <si>
    <t>Radiohead</t>
  </si>
  <si>
    <t>Karma Police</t>
  </si>
  <si>
    <t>spotify:track:2q95XoeFGixx8b5LNF6Ey1</t>
  </si>
  <si>
    <t>Pitbull featuring Flo Rida and LunchMoney Lewis</t>
  </si>
  <si>
    <t>Greenlight</t>
  </si>
  <si>
    <t>spotify:track:5JLv62qFIS1DR3zGEcApRt</t>
  </si>
  <si>
    <t>Wide Awake</t>
  </si>
  <si>
    <t>spotify:track:7oGZAicScQt96OAW4AruYy</t>
  </si>
  <si>
    <t>Want to Want Me</t>
  </si>
  <si>
    <t>spotify:track:1gZ7i4qxXkHZb1r6eioaAP</t>
  </si>
  <si>
    <t>The Pussycat Dolls featuring Busta Rhymes</t>
  </si>
  <si>
    <t>Don't Cha</t>
  </si>
  <si>
    <t>spotify:track:7i7UIbm5E0DD7aSOYvwp2v</t>
  </si>
  <si>
    <t>Ciara featuring Ludacris</t>
  </si>
  <si>
    <t>Oh</t>
  </si>
  <si>
    <t>spotify:track:0qOnSQQF0yzuPWsXrQ9paz</t>
  </si>
  <si>
    <t>Gym Class Heroes featuring Adam Levine</t>
  </si>
  <si>
    <t>Stereo Hearts</t>
  </si>
  <si>
    <t>spotify:track:7pNC5ZIKtwUK0ReSpM3P9f</t>
  </si>
  <si>
    <t>Iggy Azalea featuring Rita Ora</t>
  </si>
  <si>
    <t>Black Widow</t>
  </si>
  <si>
    <t>spotify:track:4fF34Yf5KsfUbCORyLGpEj</t>
  </si>
  <si>
    <t>Aaron Carter</t>
  </si>
  <si>
    <t>Aaron's Party (Come Get It)</t>
  </si>
  <si>
    <t>spotify:track:34PsixEmIceg39NpaYxBsH</t>
  </si>
  <si>
    <t>I Think I'm in Love with You</t>
  </si>
  <si>
    <t>spotify:track:7BRPQ2kmto0FBXCV7aXqeh</t>
  </si>
  <si>
    <t>Three 6 Mafia featuring Young Buck and Eightball &amp; MJG</t>
  </si>
  <si>
    <t>Stay Fly</t>
  </si>
  <si>
    <t>spotify:track:08MAEdQe0KjcOuSwajYkA1</t>
  </si>
  <si>
    <t>From My Head to My Heart</t>
  </si>
  <si>
    <t>spotify:track:43oC4tXsCWFxDV6I6rPxRI</t>
  </si>
  <si>
    <t>Andrew Allen</t>
  </si>
  <si>
    <t>Loving You Tonight</t>
  </si>
  <si>
    <t>spotify:track:28IEbk5a7twNTbUEvWslUb</t>
  </si>
  <si>
    <t>Finger Eleven</t>
  </si>
  <si>
    <t>Paralyzer</t>
  </si>
  <si>
    <t>spotify:track:0Odk0MFEwVOTj8sDOPO2Fo</t>
  </si>
  <si>
    <t>Baha Men</t>
  </si>
  <si>
    <t>Move It Like This</t>
  </si>
  <si>
    <t>spotify:track:38pnSnvIxe1MhQlFVdZFBW</t>
  </si>
  <si>
    <t>The Ready Set</t>
  </si>
  <si>
    <t>Give Me Your Hand</t>
  </si>
  <si>
    <t>spotify:track:54Jan0Hqp63H3X1XZdNP5a</t>
  </si>
  <si>
    <t>Morning Parade</t>
  </si>
  <si>
    <t>Alienation</t>
  </si>
  <si>
    <t>spotify:track:6KRi6CBUitENJB4HQbSVSD</t>
  </si>
  <si>
    <t>Escape</t>
  </si>
  <si>
    <t>spotify:track:7xHWNBFm6ObGEQPaUxHuKO</t>
  </si>
  <si>
    <t>Sia featuring Kendrick Lamar</t>
  </si>
  <si>
    <t>The Greatest</t>
  </si>
  <si>
    <t>spotify:track:0Z7NAD9A7qQS9WpYvMh5gL</t>
  </si>
  <si>
    <t>Skye Sweetnam</t>
  </si>
  <si>
    <t>Tangled Up in Me</t>
  </si>
  <si>
    <t>spotify:track:2AW37v0bDyuOzGP3XnmFuA</t>
  </si>
  <si>
    <t>It's Gonna Be Me</t>
  </si>
  <si>
    <t>spotify:track:6rbeWjEavBHvX2kr6lSogS</t>
  </si>
  <si>
    <t>J. Cole</t>
  </si>
  <si>
    <t>Work Out</t>
  </si>
  <si>
    <t>spotify:track:1MtUq6Wp1eQ8PC6BbPCj8P</t>
  </si>
  <si>
    <t>I Took a Pill in Ibiza (SeeB Remix)</t>
  </si>
  <si>
    <t>spotify:track:6diFcq4UcYDlBeRVqOCWY1</t>
  </si>
  <si>
    <t>Shut Up</t>
  </si>
  <si>
    <t>spotify:track:38xWaVFKaxZlMFvzNff2aW</t>
  </si>
  <si>
    <t>Breakeven</t>
  </si>
  <si>
    <t>spotify:track:5t4B1kAlCD13YY9poph0Mg</t>
  </si>
  <si>
    <t>Stitches</t>
  </si>
  <si>
    <t>spotify:track:2hQU8LNZFUcXLUwqeABX3K</t>
  </si>
  <si>
    <t>Mariah Carey</t>
  </si>
  <si>
    <t>Don't Forget About Us</t>
  </si>
  <si>
    <t>spotify:track:2DNdEpV9UnsYjL6w1Dp1aS</t>
  </si>
  <si>
    <t>The Ting Tings</t>
  </si>
  <si>
    <t>That's Not My Name</t>
  </si>
  <si>
    <t>spotify:track:4Hff1IjRbLGeLgFgxvHflk</t>
  </si>
  <si>
    <t>Dare</t>
  </si>
  <si>
    <t>spotify:track:3SfZpKjMwvUQKGCty1dJ0T</t>
  </si>
  <si>
    <t>Bobby V</t>
  </si>
  <si>
    <t>spotify:track:4xAk8Lw82G3YoVSOdVAsBx</t>
  </si>
  <si>
    <t>Akon featuring Snoop Dogg</t>
  </si>
  <si>
    <t>I Wanna Love You</t>
  </si>
  <si>
    <t>spotify:track:7DYjzYtHHQExgtzgY04ZDc</t>
  </si>
  <si>
    <t>Bow Wow featuring J-Kwon and Jermaine Dupri</t>
  </si>
  <si>
    <t>Fresh AZIMIZ</t>
  </si>
  <si>
    <t>spotify:track:01Aj44KIjCrPmZeXq4UOky</t>
  </si>
  <si>
    <t>Emotion</t>
  </si>
  <si>
    <t>spotify:track:1yOYcCTPcepDgrLz7cU1rW</t>
  </si>
  <si>
    <t>Nelly featuring Tim McGraw</t>
  </si>
  <si>
    <t>Over and Over</t>
  </si>
  <si>
    <t>spotify:track:6vs9xToxh23nXF8sucqnfP</t>
  </si>
  <si>
    <t>Huey</t>
  </si>
  <si>
    <t>Pop, Lock &amp; Drop It</t>
  </si>
  <si>
    <t>spotify:track:1DqdF42leyFIzqNDv9CjId</t>
  </si>
  <si>
    <t>Taio Cruz</t>
  </si>
  <si>
    <t>Dynamite</t>
  </si>
  <si>
    <t>spotify:track:5BSclXJTa9B0iURhUjZo50</t>
  </si>
  <si>
    <t>La Tortura</t>
  </si>
  <si>
    <t>spotify:track:3qK8x4GZcIkzTz9JEqvIF5</t>
  </si>
  <si>
    <t>Let's Get It Started</t>
  </si>
  <si>
    <t>spotify:track:2zee8Zcesqwnnwliw2Jy8M</t>
  </si>
  <si>
    <t>I Belong to You</t>
  </si>
  <si>
    <t>spotify:track:5Tl0HJvynZtKdSUMKbFVVX</t>
  </si>
  <si>
    <t>Hard Knock Life (Ghetto Anthem) (Edit)</t>
  </si>
  <si>
    <t>spotify:track:2fOxxLz9JVe53itq6pfBak</t>
  </si>
  <si>
    <t>No Doubt</t>
  </si>
  <si>
    <t>spotify:track:0Jc8qF1mUPo1A96HE9QxZz</t>
  </si>
  <si>
    <t>Pop</t>
  </si>
  <si>
    <t>spotify:track:4pmc2AxSEq6g7hPVlJCPyP</t>
  </si>
  <si>
    <t>Jumpin', Jumpin'</t>
  </si>
  <si>
    <t>spotify:track:44JqKUXiWTaRrDQUx7CwsT</t>
  </si>
  <si>
    <t>Lady Gaga featuring R. Kelly</t>
  </si>
  <si>
    <t>Do What U Want</t>
  </si>
  <si>
    <t>spotify:track:0KpfYajJVVGgQ32Dby7e9i</t>
  </si>
  <si>
    <t>Hey, Soul Sister</t>
  </si>
  <si>
    <t>spotify:track:2kWowW0k4oFymhkr7LmvzO</t>
  </si>
  <si>
    <t>Kongos</t>
  </si>
  <si>
    <t>Come with Me Now</t>
  </si>
  <si>
    <t>spotify:track:1JmPASoql4lnXimD5ICqRP</t>
  </si>
  <si>
    <t>Not a Bad Thing</t>
  </si>
  <si>
    <t>spotify:track:7LVHVU3tWfcxj5aiPFEW4Q</t>
  </si>
  <si>
    <t>Fix You</t>
  </si>
  <si>
    <t>spotify:track:7eYVOdiqYA0wcPhhOC1g92</t>
  </si>
  <si>
    <t>Stillness of Heart</t>
  </si>
  <si>
    <t>spotify:track:2VOomzT6VavJOGBeySqaMc</t>
  </si>
  <si>
    <t>Disturbia</t>
  </si>
  <si>
    <t>spotify:track:0GkkiqqRdjqmRDrWfTdemH</t>
  </si>
  <si>
    <t>Brooke Valentine featuring Big Boi and Lil Jon</t>
  </si>
  <si>
    <t>Girlfight</t>
  </si>
  <si>
    <t>spotify:track:5dLvErR6RBbMMvGuDMdur2</t>
  </si>
  <si>
    <t>Bow Wow featuring Ciara</t>
  </si>
  <si>
    <t>Like You</t>
  </si>
  <si>
    <t>spotify:track:4JehYebiI9JE8sR8MisGVb</t>
  </si>
  <si>
    <t>Halo</t>
  </si>
  <si>
    <t>spotify:track:2JXMbStwQxqfSo5DiiV8nj</t>
  </si>
  <si>
    <t>Stanaj</t>
  </si>
  <si>
    <t>Ain't Love Strange</t>
  </si>
  <si>
    <t>spotify:track:5DLkPmyenHS2uJclC8nPCA</t>
  </si>
  <si>
    <t>Ginuwine featuring Baby</t>
  </si>
  <si>
    <t>Hell Yeah</t>
  </si>
  <si>
    <t>spotify:track:7LP4Es66zdY7CyjepqmvAg</t>
  </si>
  <si>
    <t>Jay Sean featuring Lil Wayne</t>
  </si>
  <si>
    <t>Down</t>
  </si>
  <si>
    <t>spotify:track:2wcDfk3TfQg3Jv8gEoTim7</t>
  </si>
  <si>
    <t>I Just Wanna Live</t>
  </si>
  <si>
    <t>spotify:track:0WgLpgUdThEpA5L5K0SKq7</t>
  </si>
  <si>
    <t>Eve featuring Alicia Keys</t>
  </si>
  <si>
    <t>Gangsta Lovin'</t>
  </si>
  <si>
    <t>spotify:track:5FQazQxWUHsJ8QDaXLdFzR</t>
  </si>
  <si>
    <t>Blow</t>
  </si>
  <si>
    <t>spotify:track:05SBRd4fXgn8FX7bf8BCAE</t>
  </si>
  <si>
    <t>I Need Your Love</t>
  </si>
  <si>
    <t>spotify:track:38A0qlAEbx9kP2StogKH00</t>
  </si>
  <si>
    <t>Ordinary Day</t>
  </si>
  <si>
    <t>spotify:track:3cNtjgYi1Z6zR35fOiNtuZ</t>
  </si>
  <si>
    <t>Someone to Call My Lover</t>
  </si>
  <si>
    <t>spotify:track:3gof22xe7vuAceUdeEvlsr</t>
  </si>
  <si>
    <t>2AM Club</t>
  </si>
  <si>
    <t>Worry About You</t>
  </si>
  <si>
    <t>spotify:track:4mYd9FQyU5eekDJyVeIRgS</t>
  </si>
  <si>
    <t>I Hate This Part</t>
  </si>
  <si>
    <t>spotify:track:717TY4sfgKQm4kFbYQIzgo</t>
  </si>
  <si>
    <t>Toxic</t>
  </si>
  <si>
    <t>spotify:track:75KdMdPqZGO3FGNtpByM1p</t>
  </si>
  <si>
    <t>Say Goodbye</t>
  </si>
  <si>
    <t>spotify:track:1GrikfH0jDejDvrxo84n4P</t>
  </si>
  <si>
    <t>Together Again</t>
  </si>
  <si>
    <t>spotify:track:5XyPRKhXUalFpS2I5kLQBF</t>
  </si>
  <si>
    <t>Then the Morning Comes</t>
  </si>
  <si>
    <t>spotify:track:2hdy9Wt9qp7M7d0U3ossu2</t>
  </si>
  <si>
    <t>If U Seek Amy</t>
  </si>
  <si>
    <t>spotify:track:14Rcq31SafFBHNEwXrtR2B</t>
  </si>
  <si>
    <t>Drake featuring Majid Jordan</t>
  </si>
  <si>
    <t>Hold On, We're Going Home</t>
  </si>
  <si>
    <t>spotify:track:0k6HUzaRHpQ3eEWr1C7Esh</t>
  </si>
  <si>
    <t>Bubba Sparxxx</t>
  </si>
  <si>
    <t>Ms. New Booty</t>
  </si>
  <si>
    <t>spotify:track:2fdd8W8eTym1gWO1dl1nxo</t>
  </si>
  <si>
    <t>Britt Nicole</t>
  </si>
  <si>
    <t>Gold</t>
  </si>
  <si>
    <t>spotify:track:2zJZwWF7BTGIIvrAlgzJEx</t>
  </si>
  <si>
    <t>Whatcha Say</t>
  </si>
  <si>
    <t>spotify:track:6OtCIsQZ64Vs1EbzztvAv4</t>
  </si>
  <si>
    <t>Good Life</t>
  </si>
  <si>
    <t>spotify:track:1MBM7CyZbwJpVbbZJnHHRg</t>
  </si>
  <si>
    <t>Summer Love</t>
  </si>
  <si>
    <t>spotify:track:5b2bu6yyATC1zMXDGScJ2d</t>
  </si>
  <si>
    <t>David Guetta featuring Nicki Minaj, Bebe Rexha and Afrojack</t>
  </si>
  <si>
    <t>Hey Mama</t>
  </si>
  <si>
    <t>spotify:track:0ifSeVGUr7py5GggttDhXw</t>
  </si>
  <si>
    <t>All About That Bass</t>
  </si>
  <si>
    <t>spotify:track:2Foc5Q5nqNiosCNqttzHof</t>
  </si>
  <si>
    <t>Daft Punk featuring Pharrell Williams</t>
  </si>
  <si>
    <t>Get Lucky</t>
  </si>
  <si>
    <t>spotify:track:0YSJCrlSWF3meRTNCu54WI</t>
  </si>
  <si>
    <t>Britney Spears featuring G-Eazy</t>
  </si>
  <si>
    <t>Make Me...</t>
  </si>
  <si>
    <t>spotify:track:4MeDnO5yA2Zi6IMlVApRci</t>
  </si>
  <si>
    <t>Freek-a-Leek</t>
  </si>
  <si>
    <t>spotify:track:3iL2l5gUqyPS6vDwJFgJTR</t>
  </si>
  <si>
    <t>Young Money featuring Lloyd</t>
  </si>
  <si>
    <t>BedRock</t>
  </si>
  <si>
    <t>spotify:track:0e5G60cFB8ovQNAciKOVeD</t>
  </si>
  <si>
    <t>Michael Franti &amp; Spearhead</t>
  </si>
  <si>
    <t>I'll Be Waiting</t>
  </si>
  <si>
    <t>spotify:track:4EWCNWgDS8707fNSZ1oaA5</t>
  </si>
  <si>
    <t>Heartless</t>
  </si>
  <si>
    <t>spotify:track:3OT3Kg4jyVkdZm4Ncz6JgX</t>
  </si>
  <si>
    <t>Poker Face</t>
  </si>
  <si>
    <t>spotify:track:1wVcLKdJ4AFKPhKucNvEpy</t>
  </si>
  <si>
    <t>Labrinth featuring Emeli SandÌ©</t>
  </si>
  <si>
    <t>Beneath Your Beautiful</t>
  </si>
  <si>
    <t>spotify:track:6c8QH9FMFKj0ZgNeiyOx4v</t>
  </si>
  <si>
    <t>Over My Head (Cable Car)</t>
  </si>
  <si>
    <t>spotify:track:476asboldJx73hXdKbBElQ</t>
  </si>
  <si>
    <t>Overprotected (The Darkchild Remix)</t>
  </si>
  <si>
    <t>spotify:track:3xjTuTBaihydhSC7ByNoSb</t>
  </si>
  <si>
    <t>Stuck in a Moment You Can't Get Out Of</t>
  </si>
  <si>
    <t>spotify:track:6jAsmDJI8iPhGWtS27kZ67</t>
  </si>
  <si>
    <t>Only Girl (In the World)</t>
  </si>
  <si>
    <t>spotify:track:19JdbdEwQI7bCxefMokZO8</t>
  </si>
  <si>
    <t>My Humps</t>
  </si>
  <si>
    <t>spotify:track:6Knv6wdA0luoMUuuoYi2i1</t>
  </si>
  <si>
    <t>My House</t>
  </si>
  <si>
    <t>spotify:track:6W3c6pmDgT04I0Nk87JFyK</t>
  </si>
  <si>
    <t>spotify:track:0HJYzGavqzjiKMmm4F0UZv</t>
  </si>
  <si>
    <t>LL Cool J</t>
  </si>
  <si>
    <t>Luv U Better</t>
  </si>
  <si>
    <t>spotify:track:0gRczqVHrEQQDyizJUtgRc</t>
  </si>
  <si>
    <t>Olly Murs featuring Flo Rida</t>
  </si>
  <si>
    <t>Troublemaker</t>
  </si>
  <si>
    <t>spotify:track:6ol4ZSifr7r3Lb2a9L5ZAB</t>
  </si>
  <si>
    <t>Carly Rae Jepsen</t>
  </si>
  <si>
    <t>Call Me Maybe</t>
  </si>
  <si>
    <t>spotify:track:00WvmRXTkPBZNhhRK3xfdy</t>
  </si>
  <si>
    <t>spotify:track:0SuLAslEMFZAXf0SwY7syi</t>
  </si>
  <si>
    <t>Jon Bellion</t>
  </si>
  <si>
    <t>spotify:track:1rtDwblY1CJ9i490fMzJnc</t>
  </si>
  <si>
    <t>Treat You Better</t>
  </si>
  <si>
    <t>spotify:track:3Q6qrj7HIgu9fxhHBkfmdi</t>
  </si>
  <si>
    <t>Rock the Boat</t>
  </si>
  <si>
    <t>spotify:track:1NAyvpW70a9lxY0YlLWFV4</t>
  </si>
  <si>
    <t>Nelly featuring Jaheim</t>
  </si>
  <si>
    <t>My Place</t>
  </si>
  <si>
    <t>spotify:track:2PwXOevGUSkU8qaYZjgLq2</t>
  </si>
  <si>
    <t>Kodaline</t>
  </si>
  <si>
    <t>All I Want</t>
  </si>
  <si>
    <t>spotify:track:6W2Ef5Ph6ILTUAedoQ3QIv</t>
  </si>
  <si>
    <t>Justin Timberlake featuring Clipse</t>
  </si>
  <si>
    <t>Like I Love You</t>
  </si>
  <si>
    <t>spotify:track:5Sf3GyLEAzJXxZ5mbCPXTu</t>
  </si>
  <si>
    <t>Mr Probz</t>
  </si>
  <si>
    <t>Waves (Robin Schulz Radio Edit)</t>
  </si>
  <si>
    <t>spotify:track:4PgtB6Sul8WDTRZCe5e8St</t>
  </si>
  <si>
    <t>Rihanna featuring Sean Paul</t>
  </si>
  <si>
    <t>Break It Off</t>
  </si>
  <si>
    <t>spotify:track:5UrbZaqIsclBE9IAcnG43M</t>
  </si>
  <si>
    <t>B2K</t>
  </si>
  <si>
    <t>spotify:track:6VixoRqnikN4QqegoKUSbH</t>
  </si>
  <si>
    <t>Ludacris featuring Bobby Valentino</t>
  </si>
  <si>
    <t>Pimpin' All Over the World</t>
  </si>
  <si>
    <t>spotify:track:3nnTnZgdkfsvCWa9fHQBNS</t>
  </si>
  <si>
    <t>spotify:track:6S3TPVhfKfrPjhCuC9taEp</t>
  </si>
  <si>
    <t>Sweetest Thing (The Single Mix)</t>
  </si>
  <si>
    <t>spotify:track:3G6hD9B2ZHOsgf4WfNu7X1</t>
  </si>
  <si>
    <t>Lorde</t>
  </si>
  <si>
    <t>Team</t>
  </si>
  <si>
    <t>spotify:track:6u5flhVFxKZrl9AApvf2SL</t>
  </si>
  <si>
    <t>*NSYNC featuring Nelly</t>
  </si>
  <si>
    <t>Girlfriend (The Neptunes Remix)</t>
  </si>
  <si>
    <t>spotify:track:5RzFJd6W40SDTyZkX6xx45</t>
  </si>
  <si>
    <t>I Know You Want Me (Calle Ocho)</t>
  </si>
  <si>
    <t>spotify:track:3GpbwCm3YxiWDvy29Uo3vP</t>
  </si>
  <si>
    <t>Right Round</t>
  </si>
  <si>
    <t>spotify:track:2i0AUcEnsDm3dsqLrFWUCq</t>
  </si>
  <si>
    <t>Hot Chelle Rae</t>
  </si>
  <si>
    <t>Tonight Tonight</t>
  </si>
  <si>
    <t>spotify:track:4tDsERgz1ARU2PzBBxvmLZ</t>
  </si>
  <si>
    <t>Conway</t>
  </si>
  <si>
    <t>Big Talk</t>
  </si>
  <si>
    <t>spotify:track:0d28khcov6AiegSCpG5TuT</t>
  </si>
  <si>
    <t>Gorillaz featuring De La Soul</t>
  </si>
  <si>
    <t>Feel Good Inc.</t>
  </si>
  <si>
    <t>spotify:track:3SPDQfj2UfWq6A2NllZnzn</t>
  </si>
  <si>
    <t>What Makes You Beautiful</t>
  </si>
  <si>
    <t>spotify:track:3SuffYZciEnwvhLRVAoWPj</t>
  </si>
  <si>
    <t>Jacob Whitesides</t>
  </si>
  <si>
    <t>Lovesick</t>
  </si>
  <si>
    <t>spotify:track:0SuzUhWAgStNIMZR4jEGgk</t>
  </si>
  <si>
    <t>Here for the Party</t>
  </si>
  <si>
    <t>spotify:track:4J37kFNUhbX5NV1VFdVLSH</t>
  </si>
  <si>
    <t>Jason Aldean</t>
  </si>
  <si>
    <t>Burnin' It Down</t>
  </si>
  <si>
    <t>spotify:track:5KzHTHTjftb7QFh5GicRnO</t>
  </si>
  <si>
    <t>Cherish featuring Young Joc</t>
  </si>
  <si>
    <t>Killa</t>
  </si>
  <si>
    <t>spotify:track:3lSDIJ2abCrOdDJ6pshUap</t>
  </si>
  <si>
    <t>Nick Jonas featuring Tove Lo</t>
  </si>
  <si>
    <t>Close</t>
  </si>
  <si>
    <t>spotify:track:3tCwjWLicbjsMCvXhN0WOE</t>
  </si>
  <si>
    <t>Magic!</t>
  </si>
  <si>
    <t>Rude</t>
  </si>
  <si>
    <t>spotify:track:3OitWDgR4SzAUOm3TBmvhw</t>
  </si>
  <si>
    <t>Don't Let Me Be the Last to Know</t>
  </si>
  <si>
    <t>spotify:track:5p9XWUdvbUzmPCukOmwoU3</t>
  </si>
  <si>
    <t>KT Tunstall</t>
  </si>
  <si>
    <t>Suddenly I See</t>
  </si>
  <si>
    <t>spotify:track:4hbRj5tucVkLUVoAdJUyRi</t>
  </si>
  <si>
    <t>One Step at a Time</t>
  </si>
  <si>
    <t>spotify:track:46lIt6GmL0VkkbuUyGDbCs</t>
  </si>
  <si>
    <t>Lil Wayne featuring T-Pain</t>
  </si>
  <si>
    <t>Got Money</t>
  </si>
  <si>
    <t>spotify:track:2RWxrpsFshOBFwRBRstUlQ</t>
  </si>
  <si>
    <t>Check on It</t>
  </si>
  <si>
    <t>spotify:track:2siv7IrEa2khUf70k7vp49</t>
  </si>
  <si>
    <t>ChantÌ© Moore</t>
  </si>
  <si>
    <t>ChantÌ©'s Got a Man</t>
  </si>
  <si>
    <t>spotify:track:3QFmH99wPoNdU2JHwKpajc</t>
  </si>
  <si>
    <t>Wall to Wall</t>
  </si>
  <si>
    <t>spotify:track:6aGjEZ7kq3YXgD0EDt80O5</t>
  </si>
  <si>
    <t>Live While We're Young</t>
  </si>
  <si>
    <t>spotify:track:3KnjerEPMolLapVo2wdgz6</t>
  </si>
  <si>
    <t>Lindsay Lohan</t>
  </si>
  <si>
    <t>Rumors</t>
  </si>
  <si>
    <t>spotify:track:3IcIIZMMS7UArJJPtEHXG8</t>
  </si>
  <si>
    <t>Obsessed</t>
  </si>
  <si>
    <t>spotify:track:3s2MyU2YCwNNwcSokt0jXD</t>
  </si>
  <si>
    <t>Girl</t>
  </si>
  <si>
    <t>spotify:track:0TyOpxlWwDx98bjkIVHUgY</t>
  </si>
  <si>
    <t>In My Head</t>
  </si>
  <si>
    <t>spotify:track:50xeLNGKmskmYUSINhqvfa</t>
  </si>
  <si>
    <t>Clumsy</t>
  </si>
  <si>
    <t>spotify:track:2q4rjDy9WhaN3o9MvDbO21</t>
  </si>
  <si>
    <t>Soulja Boy Tell 'em featuring Sammie</t>
  </si>
  <si>
    <t>Kiss Me thru the Phone</t>
  </si>
  <si>
    <t>spotify:track:1yM7GIEJ2QniupkEHOyp0a</t>
  </si>
  <si>
    <t>Enrique Iglesias featuring Sean Paul, Descemer Bueno and Gente de Zona</t>
  </si>
  <si>
    <t>Bailando</t>
  </si>
  <si>
    <t>spotify:track:0BCPKOYdS2jbQ8iyB56Zns</t>
  </si>
  <si>
    <t>Clocks</t>
  </si>
  <si>
    <t>spotify:track:4urcG6Nfubqsuqy3juMjBi</t>
  </si>
  <si>
    <t>Brokenhearted</t>
  </si>
  <si>
    <t>spotify:track:7DIi7SdM3R3nCaXMML67EW</t>
  </si>
  <si>
    <t>Bibi Bourelly</t>
  </si>
  <si>
    <t>Sally</t>
  </si>
  <si>
    <t>spotify:track:53RmnO2xlpRzDu5OIOdVMZ</t>
  </si>
  <si>
    <t>Jamie Foxx featuring Justin Timberlake and T.I.</t>
  </si>
  <si>
    <t>Winner</t>
  </si>
  <si>
    <t>spotify:track:2eRq2PrQH1RzCvF6f0t4cc</t>
  </si>
  <si>
    <t>Chingy featuring Ludacris and Snoop Dogg</t>
  </si>
  <si>
    <t>Holidae In</t>
  </si>
  <si>
    <t>spotify:track:2XPc8gL9PwxGURQFcFaDJR</t>
  </si>
  <si>
    <t>OMI</t>
  </si>
  <si>
    <t>Cheerleader (Felix Jaehn Remix Radio Edit)</t>
  </si>
  <si>
    <t>spotify:track:5a4AQWs84xeEyYUd1iC2Pn</t>
  </si>
  <si>
    <t>Dem Franchize Boyz featuring Jermaine Dupri, Da Brat and Bow Wow</t>
  </si>
  <si>
    <t>I Think They Like Me (Remix)</t>
  </si>
  <si>
    <t>spotify:track:1cdzfFjEbUbgTm5nv3FgXR</t>
  </si>
  <si>
    <t>Focus</t>
  </si>
  <si>
    <t>spotify:track:7AHZb0GnILBBitj0MxObO5</t>
  </si>
  <si>
    <t>Take My Breath Away</t>
  </si>
  <si>
    <t>spotify:track:1LoriJC05IrHIDwj3q0KC1</t>
  </si>
  <si>
    <t>Hands to Myself</t>
  </si>
  <si>
    <t>spotify:track:3ubtdCmWZIuX8FuRv3S3KX</t>
  </si>
  <si>
    <t>Ke$ha</t>
  </si>
  <si>
    <t>Take It Off</t>
  </si>
  <si>
    <t>spotify:track:7IsEXPk6qqt30FfQv4SZMa</t>
  </si>
  <si>
    <t>Fastball</t>
  </si>
  <si>
    <t>The Way</t>
  </si>
  <si>
    <t>spotify:track:1j3H54xdahpAkNI0q6S89q</t>
  </si>
  <si>
    <t>spotify:track:6gj08XDlv9Duc2fPOxUmVD</t>
  </si>
  <si>
    <t>Lips Are Movin</t>
  </si>
  <si>
    <t>spotify:track:1zpu1PZ8ecmcX525Z3X8cl</t>
  </si>
  <si>
    <t>Yo (Excuse Me Miss)</t>
  </si>
  <si>
    <t>spotify:track:1yTQ39my3MoNROlFw3RDNy</t>
  </si>
  <si>
    <t>Say You'll Be There</t>
  </si>
  <si>
    <t>spotify:track:6mnjcTmK8TewHfyOp3fC9C</t>
  </si>
  <si>
    <t>Die Young</t>
  </si>
  <si>
    <t>spotify:track:7EIbjRAv9K5ccoH4XivnTk</t>
  </si>
  <si>
    <t>Hunter Hayes</t>
  </si>
  <si>
    <t>Somebody's Heartbreak</t>
  </si>
  <si>
    <t>spotify:track:5ZKVNTG7yu7gbX4vryqS2X</t>
  </si>
  <si>
    <t>N.O.R.E.</t>
  </si>
  <si>
    <t>Nothin'</t>
  </si>
  <si>
    <t>spotify:track:3KliPMvk1EvFZu9cvkj8p1</t>
  </si>
  <si>
    <t>Work Work</t>
  </si>
  <si>
    <t>spotify:track:1yqiPgdyzawcROgGQLvIYj</t>
  </si>
  <si>
    <t>Graffiti6</t>
  </si>
  <si>
    <t>Free</t>
  </si>
  <si>
    <t>spotify:track:7cVmKBwzPsh4Fmb6SplfEm</t>
  </si>
  <si>
    <t>Dem Franchize Boyz featuring Peanut and Charlay</t>
  </si>
  <si>
    <t>Lean wit It, Rock wit It</t>
  </si>
  <si>
    <t>spotify:track:7MXVkk9YMctZqd1Srtv4MB</t>
  </si>
  <si>
    <t>The Weeknd featuring Daft Punk</t>
  </si>
  <si>
    <t>Starboy</t>
  </si>
  <si>
    <t>spotify:track:60jzFy6Nn4M0iD1d94oteF</t>
  </si>
  <si>
    <t>Rude Boy</t>
  </si>
  <si>
    <t>spotify:track:4aR9bPMAOFySBuQSbVWF3d</t>
  </si>
  <si>
    <t>Lily Allen</t>
  </si>
  <si>
    <t>spotify:track:7ii2YgQHs2LdNpW5feZ3RK</t>
  </si>
  <si>
    <t>Turn Off the Light</t>
  </si>
  <si>
    <t>spotify:track:0F7rEdewJ6cSLylOZZpDu7</t>
  </si>
  <si>
    <t>T-Pain</t>
  </si>
  <si>
    <t>I'm Sprung</t>
  </si>
  <si>
    <t>spotify:track:5OiLJ8tjUPFiPX2gVM8fxJ</t>
  </si>
  <si>
    <t>Imma Be</t>
  </si>
  <si>
    <t>spotify:track:2nGJ7XB8dEy2SVn8XTfB5J</t>
  </si>
  <si>
    <t>Maria K.</t>
  </si>
  <si>
    <t>Starbucks Smile</t>
  </si>
  <si>
    <t>spotify:track:2dLLR6qlu5UJ5gk0dKz0h3</t>
  </si>
  <si>
    <t>Royals</t>
  </si>
  <si>
    <t>spotify:track:0QM7tqGYDPvYbMAwlbEvJD</t>
  </si>
  <si>
    <t>Musiq Soulchild</t>
  </si>
  <si>
    <t>Halfcrazy</t>
  </si>
  <si>
    <t>spotify:track:27L8sESb3KR79asDUBu8nW</t>
  </si>
  <si>
    <t>Fountains of Wayne</t>
  </si>
  <si>
    <t>Stacy's Mom</t>
  </si>
  <si>
    <t>spotify:track:7rGMKCgeYXpBecQ1FPb3oc</t>
  </si>
  <si>
    <t>David Guetta featuring Usher</t>
  </si>
  <si>
    <t>Without You</t>
  </si>
  <si>
    <t>spotify:track:2iuZJX9X9P0GKaE93xcPjk</t>
  </si>
  <si>
    <t>spotify:track:7L605WhF5EGf34ggj87yK6</t>
  </si>
  <si>
    <t>spotify:track:5zn1hpm9N0ylKB7kOtpCw2</t>
  </si>
  <si>
    <t>No More (Baby I'ma Do Right)</t>
  </si>
  <si>
    <t>spotify:track:21fXrzSxu2y51Yqf57QycI</t>
  </si>
  <si>
    <t>Case</t>
  </si>
  <si>
    <t>Happily Ever After</t>
  </si>
  <si>
    <t>spotify:track:06iMqWThw4w8fTFyccvOwr</t>
  </si>
  <si>
    <t>Nelly featuring City Spud</t>
  </si>
  <si>
    <t>Ride wit Me</t>
  </si>
  <si>
    <t>spotify:track:2ndnVdR8si7CW9T8vJRHyW</t>
  </si>
  <si>
    <t>Nina Sky featuring Jabba</t>
  </si>
  <si>
    <t>Move Ya Body</t>
  </si>
  <si>
    <t>spotify:track:5vTPxzm4h2bY9rYyVrGEU5</t>
  </si>
  <si>
    <t>Demi Lovato featuring Cher Lloyd</t>
  </si>
  <si>
    <t>Really Don't Care</t>
  </si>
  <si>
    <t>spotify:track:2Wud6xFXTtFrTtAaViGL0C</t>
  </si>
  <si>
    <t>Maren Morris</t>
  </si>
  <si>
    <t>My Church</t>
  </si>
  <si>
    <t>spotify:track:6GmUVqe73u5YRfUUynZK6I</t>
  </si>
  <si>
    <t>Passenger</t>
  </si>
  <si>
    <t>Let Her Go</t>
  </si>
  <si>
    <t>spotify:track:2aIdVb8v9KTpEZnftkz2mD</t>
  </si>
  <si>
    <t>T-Pain featuring Yung Joc</t>
  </si>
  <si>
    <t>Buy U a Drank (Shawty Snappin')</t>
  </si>
  <si>
    <t>spotify:track:4x2rgtSFOI4hRvEvDj02KP</t>
  </si>
  <si>
    <t>If It's Lovin' That You Want</t>
  </si>
  <si>
    <t>spotify:track:2ZyuwVvV6Z3XJaXIFbspeE</t>
  </si>
  <si>
    <t>Wild Things</t>
  </si>
  <si>
    <t>spotify:track:794F99D5BQHS5ZGRXAs7I5</t>
  </si>
  <si>
    <t>Anaconda</t>
  </si>
  <si>
    <t>spotify:track:5XFu5S1vBY7sNHlheCapOz</t>
  </si>
  <si>
    <t>Strip It Down</t>
  </si>
  <si>
    <t>spotify:track:7oYQd6PfHPwvEBgn5slIrx</t>
  </si>
  <si>
    <t>Phoebe Ryan</t>
  </si>
  <si>
    <t>Chronic</t>
  </si>
  <si>
    <t>spotify:track:4gbVRS8gloEluzf0GzDOFc</t>
  </si>
  <si>
    <t>Maps</t>
  </si>
  <si>
    <t>spotify:track:4Yb6G9OWgGBmfOpxcFxp6P</t>
  </si>
  <si>
    <t>Mary Lambert</t>
  </si>
  <si>
    <t>She Keeps Me Warm</t>
  </si>
  <si>
    <t>spotify:track:4XRZbiVdsA5qv6f6qP70lS</t>
  </si>
  <si>
    <t>Love Like Woe</t>
  </si>
  <si>
    <t>spotify:track:6MBEjJlXQYXr8dfxDvZuoA</t>
  </si>
  <si>
    <t>Cherish featuring Sean Paul of YoungBloodZ</t>
  </si>
  <si>
    <t>Do It to It</t>
  </si>
  <si>
    <t>spotify:track:3fV2ZnSsxgvXUHshkGCBdR</t>
  </si>
  <si>
    <t>Solo</t>
  </si>
  <si>
    <t>spotify:track:17lJlBTeJZEC5r4m8kqrE4</t>
  </si>
  <si>
    <t>Just Want You to Know</t>
  </si>
  <si>
    <t>spotify:track:0OaunKfsxkgBvPv68jBbmm</t>
  </si>
  <si>
    <t>Shaggy</t>
  </si>
  <si>
    <t>It Wasn't Me</t>
  </si>
  <si>
    <t>spotify:track:1p5kC161fWMA2QlwV3Vi4W</t>
  </si>
  <si>
    <t>Eamon</t>
  </si>
  <si>
    <t>I Don't Want You Back</t>
  </si>
  <si>
    <t>spotify:track:0mUyMawtxj1CJ76kn9gIZK</t>
  </si>
  <si>
    <t>Daniel Powter</t>
  </si>
  <si>
    <t>spotify:track:7yws3pF3FFguwT2Psi6c15</t>
  </si>
  <si>
    <t>Jay Sean featuring Sean Paul and Lil Jon</t>
  </si>
  <si>
    <t>Do You Remember</t>
  </si>
  <si>
    <t>spotify:track:66ZcOcouenzZEnzTJvoFmH</t>
  </si>
  <si>
    <t>Gwen Stefani featuring Akon</t>
  </si>
  <si>
    <t>The Sweet Escape</t>
  </si>
  <si>
    <t>spotify:track:7shelnJfOa5yGLzOpRRnKI</t>
  </si>
  <si>
    <t>More Than a Woman</t>
  </si>
  <si>
    <t>spotify:track:0pioV0S2mggsod9MRuDTXB</t>
  </si>
  <si>
    <t>Everyday</t>
  </si>
  <si>
    <t>spotify:track:3sP3c86WFjOzHHnbhhZcLA</t>
  </si>
  <si>
    <t>Give Your Heart a Break</t>
  </si>
  <si>
    <t>spotify:track:05ZACkzW8YbRq3eFgIfSNB</t>
  </si>
  <si>
    <t>Eric Church</t>
  </si>
  <si>
    <t>Springsteen</t>
  </si>
  <si>
    <t>spotify:track:3Ui2jdyxbZQrZohfM0NOgG</t>
  </si>
  <si>
    <t>Tattoo</t>
  </si>
  <si>
    <t>spotify:track:4tCtwWceOPWzenK2HAIJSb</t>
  </si>
  <si>
    <t>Fifth Harmony featuring Ty Dolla Sign</t>
  </si>
  <si>
    <t>Work from Home</t>
  </si>
  <si>
    <t>spotify:track:7xoN94HgqWTerSUbG5Hf9O</t>
  </si>
  <si>
    <t>spotify:track:6y0igZArWVi6Iz0rj35c1Y</t>
  </si>
  <si>
    <t>Flume featuring Kai</t>
  </si>
  <si>
    <t>Never Be like You</t>
  </si>
  <si>
    <t>spotify:track:3kZoay4ANo86ehb6s4RwS9</t>
  </si>
  <si>
    <t>Chamillionaire featuring Krayzie Bone</t>
  </si>
  <si>
    <t>Ridin'</t>
  </si>
  <si>
    <t>spotify:track:2u02eLj96Atd6TBxkH9YvN</t>
  </si>
  <si>
    <t>S&amp;M</t>
  </si>
  <si>
    <t>spotify:track:4MKzCHlZvkwJOQRNkdw4zq</t>
  </si>
  <si>
    <t>David Guetta featuring Akon</t>
  </si>
  <si>
    <t>Sexy Chick</t>
  </si>
  <si>
    <t>spotify:track:11vB24DiDhGZZmW7WzCmxr</t>
  </si>
  <si>
    <t>Sarah Connor</t>
  </si>
  <si>
    <t>Bounce</t>
  </si>
  <si>
    <t>spotify:track:5HGibWoxnkYSkl6mHmAlOE</t>
  </si>
  <si>
    <t>That's My Kind of Night</t>
  </si>
  <si>
    <t>spotify:track:6SLTPbDxDYR0uSMTT7gSb7</t>
  </si>
  <si>
    <t>AlunaGeorge featuring Popcaan</t>
  </si>
  <si>
    <t>I'm in Control</t>
  </si>
  <si>
    <t>spotify:track:4dPsNgPv3ne2A3map82xhK</t>
  </si>
  <si>
    <t>Kelis featuring Too Short</t>
  </si>
  <si>
    <t>Bossy</t>
  </si>
  <si>
    <t>spotify:track:6g6A7qNhTfUgOSH7ROOxTD</t>
  </si>
  <si>
    <t>Jason Derulo featuring 2 Chainz</t>
  </si>
  <si>
    <t>Talk Dirty</t>
  </si>
  <si>
    <t>spotify:track:3bMNprrp2JDKZsGbiXpsJl</t>
  </si>
  <si>
    <t>Ludacris featuring Nicki Minaj</t>
  </si>
  <si>
    <t>My Chick Bad</t>
  </si>
  <si>
    <t>spotify:track:3G5iN5QBqMeXx3uZPy8tgB</t>
  </si>
  <si>
    <t>Young Girls</t>
  </si>
  <si>
    <t>spotify:track:0x3TibRgnSqzkcwrqBd4iX</t>
  </si>
  <si>
    <t>Jeremih featuring 50 Cent</t>
  </si>
  <si>
    <t>Down on Me</t>
  </si>
  <si>
    <t>spotify:track:4ocbH5ZJqajZIpUrqRUoue</t>
  </si>
  <si>
    <t>Meet Virginia</t>
  </si>
  <si>
    <t>spotify:track:7fFCnttacpotkyhTOxKv14</t>
  </si>
  <si>
    <t>Play</t>
  </si>
  <si>
    <t>spotify:track:6Rb0ptOEjBjPPQUlQtQGbL</t>
  </si>
  <si>
    <t>Hotel Room Service</t>
  </si>
  <si>
    <t>spotify:track:4CweuuMMzi71pO0MSRgyaT</t>
  </si>
  <si>
    <t>Chris Brown featuring T-Pain</t>
  </si>
  <si>
    <t>Kiss Kiss</t>
  </si>
  <si>
    <t>spotify:track:4ZOyH6KjomjlqCz3oFqglr</t>
  </si>
  <si>
    <t>Jenny from the Block</t>
  </si>
  <si>
    <t>spotify:track:59dLtGBS26x7kc0rHbaPrq</t>
  </si>
  <si>
    <t>B.o.B featuring Bruno Mars</t>
  </si>
  <si>
    <t>Nothin' on You</t>
  </si>
  <si>
    <t>spotify:track:2nRvKHh2mtOfIQ4jcAkP9q</t>
  </si>
  <si>
    <t>Just a Kiss</t>
  </si>
  <si>
    <t>spotify:track:3UvpMz4mNB6SEKCdaBT6qO</t>
  </si>
  <si>
    <t>Westside Connection featuring Nate Dogg</t>
  </si>
  <si>
    <t>Gangsta Nation</t>
  </si>
  <si>
    <t>spotify:track:3s4U7OHV7gnj42VV72eSZ6</t>
  </si>
  <si>
    <t>Clean Bandit featuring Jess Glynne</t>
  </si>
  <si>
    <t>Rather Be</t>
  </si>
  <si>
    <t>spotify:track:06W9lAkSw72ppybh379fmo</t>
  </si>
  <si>
    <t>Frankie</t>
  </si>
  <si>
    <t>New Obsession</t>
  </si>
  <si>
    <t>spotify:track:4NjR63Up0uMkQBlKvlZd1l</t>
  </si>
  <si>
    <t>The Pussycat Dolls</t>
  </si>
  <si>
    <t>Stickwitu</t>
  </si>
  <si>
    <t>spotify:track:4PRB8Cs2ONx4VcVv0rFSwj</t>
  </si>
  <si>
    <t>Samantha Mumba</t>
  </si>
  <si>
    <t>Baby, Come Over (This Is Our Night)</t>
  </si>
  <si>
    <t>spotify:track:49ppqF73rOz5Nyt1paRxIF</t>
  </si>
  <si>
    <t>Natasha Bedingfield featuring Sean Kingston</t>
  </si>
  <si>
    <t>Love Like This</t>
  </si>
  <si>
    <t>spotify:track:0AKejOKlGdiB53QpwAeenO</t>
  </si>
  <si>
    <t>Maroon 5 featuring Kendrick Lamar</t>
  </si>
  <si>
    <t>Don't Wanna Know</t>
  </si>
  <si>
    <t>spotify:track:4F55RCGuM477OjznpYGhYz</t>
  </si>
  <si>
    <t>Bow Wow featuring Chris Brown &amp; JohntÌÁ Austin</t>
  </si>
  <si>
    <t>Shortie Like Mine</t>
  </si>
  <si>
    <t>spotify:track:1AjQE5MtP5jHQMyDepbvLI</t>
  </si>
  <si>
    <t>Lumidee</t>
  </si>
  <si>
    <t>Never Leave You (Uh Oooh, Uh Oooh)</t>
  </si>
  <si>
    <t>spotify:track:7ffwRz8lZyDOE4Vj58Lo72</t>
  </si>
  <si>
    <t>I Need to Know</t>
  </si>
  <si>
    <t>spotify:track:5vL0yvddknhGj7IrBc6UTj</t>
  </si>
  <si>
    <t>This Is How We Do</t>
  </si>
  <si>
    <t>spotify:track:6XXCvIN94wOQBnyfcx8q3I</t>
  </si>
  <si>
    <t>Mariah Carey featuring Miguel</t>
  </si>
  <si>
    <t>#Beautiful</t>
  </si>
  <si>
    <t>spotify:track:5tOjRq5shlEdm15nmJBq7Z</t>
  </si>
  <si>
    <t>Out of My Head</t>
  </si>
  <si>
    <t>spotify:track:06EL94D0TA27Ik0Ke5usbj</t>
  </si>
  <si>
    <t>Ariana Grande featuring Mac Miller</t>
  </si>
  <si>
    <t>spotify:track:4KTtYhxFtFL7mBwnjkKfLm</t>
  </si>
  <si>
    <t>Fergie featuring Ludacris</t>
  </si>
  <si>
    <t>Glamorous</t>
  </si>
  <si>
    <t>spotify:track:0adTN3vBO3pimO3yfxm9vg</t>
  </si>
  <si>
    <t>Dirt Road Anthem</t>
  </si>
  <si>
    <t>spotify:track:5AYqtxKZ5MIbb6BIKGiVLA</t>
  </si>
  <si>
    <t>Imajin</t>
  </si>
  <si>
    <t>Shorty (You Keep Playin' with My Mind)</t>
  </si>
  <si>
    <t>spotify:track:4AboqNl74jNDpJhPfqYDmj</t>
  </si>
  <si>
    <t>Your Love Is My Drug</t>
  </si>
  <si>
    <t>spotify:track:2lnzGkdtDj5mtlcOW2yRtG</t>
  </si>
  <si>
    <t>Whenever, Wherever</t>
  </si>
  <si>
    <t>spotify:track:6MhGq8IlmVQXpl6YYKZqYN</t>
  </si>
  <si>
    <t>Hey Porsche</t>
  </si>
  <si>
    <t>spotify:track:4P7VFiaZb3xrXoqGwZXC3J</t>
  </si>
  <si>
    <t>Lil Wayne featuring Static Major</t>
  </si>
  <si>
    <t>Lollipop</t>
  </si>
  <si>
    <t>spotify:track:0sQLhT32E9ZG2zn5iYR6nN</t>
  </si>
  <si>
    <t>R. City featuring Adam Levine</t>
  </si>
  <si>
    <t>Locked Away</t>
  </si>
  <si>
    <t>spotify:track:7rOIWUhSfjWh4E7443PYE8</t>
  </si>
  <si>
    <t>I'm Real</t>
  </si>
  <si>
    <t>spotify:track:3w3y8KPTfNeOKPiqUTakBh</t>
  </si>
  <si>
    <t>Locked Out of Heaven</t>
  </si>
  <si>
    <t>spotify:track:3CNqo3gYrfexdrtjFmC9he</t>
  </si>
  <si>
    <t>The Black Eyed Peas featuring Justin Timberlake</t>
  </si>
  <si>
    <t>Where Is the Love?</t>
  </si>
  <si>
    <t>spotify:track:0U969xYNlAyfzi8P1TaO7u</t>
  </si>
  <si>
    <t>Elliott Yamin</t>
  </si>
  <si>
    <t>Wait for You</t>
  </si>
  <si>
    <t>spotify:track:2ihwel4BNkqSUQRHTGJtVF</t>
  </si>
  <si>
    <t>Houston featuring Chingy, Nate Dogg &amp; I-20</t>
  </si>
  <si>
    <t>I Like That</t>
  </si>
  <si>
    <t>spotify:track:2CtCwQhY0ZLvr8L2l8Bo6e</t>
  </si>
  <si>
    <t>Ludacris featuring Shawnna</t>
  </si>
  <si>
    <t>Stand Up</t>
  </si>
  <si>
    <t>spotify:track:2mQ1RBK7s87mdPCzh97RSH</t>
  </si>
  <si>
    <t>Los Lonely Boys</t>
  </si>
  <si>
    <t>Heaven</t>
  </si>
  <si>
    <t>spotify:track:6uYAPqxP69zfpCbsTHXgiz</t>
  </si>
  <si>
    <t>Cater 2 U</t>
  </si>
  <si>
    <t>spotify:track:1m4dXbkplvaOO4Wbdjbwxs</t>
  </si>
  <si>
    <t>Me Too</t>
  </si>
  <si>
    <t>spotify:track:6xq8U31GEN5QvO7fTtcgG3</t>
  </si>
  <si>
    <t>Mystikal</t>
  </si>
  <si>
    <t>Shake It Fast</t>
  </si>
  <si>
    <t>spotify:track:0upQ8bgqXGhFsBgvchxbGm</t>
  </si>
  <si>
    <t>Ciara featuring Justin Timberlake</t>
  </si>
  <si>
    <t>Love Sex Magic</t>
  </si>
  <si>
    <t>spotify:track:3pXF1nA74528Edde4of9CC</t>
  </si>
  <si>
    <t>Bryson Tiller</t>
  </si>
  <si>
    <t>Don't</t>
  </si>
  <si>
    <t>spotify:track:6nC75SPjkzY3CGvBckFD0w</t>
  </si>
  <si>
    <t>All Saints</t>
  </si>
  <si>
    <t>Never Ever (Single Edit)</t>
  </si>
  <si>
    <t>spotify:track:2nP53cGOPLojPkoWVZo4sY</t>
  </si>
  <si>
    <t>LoveGame</t>
  </si>
  <si>
    <t>spotify:track:7ccz9p1ErD6Kq5ZSQmyvLm</t>
  </si>
  <si>
    <t>Gotta Tell You</t>
  </si>
  <si>
    <t>spotify:track:2wqaekenSQZm7hxQOYt8oE</t>
  </si>
  <si>
    <t>Nico &amp; Vinz</t>
  </si>
  <si>
    <t>Am I Wrong</t>
  </si>
  <si>
    <t>spotify:track:2gQ3lDcFYa3yFOkaw8PtuO</t>
  </si>
  <si>
    <t>Brian McKnight</t>
  </si>
  <si>
    <t>Anytime</t>
  </si>
  <si>
    <t>spotify:track:7uc39NPTNiu86GQxTUMzGT</t>
  </si>
  <si>
    <t>Kid Ink featuring Chris Brown</t>
  </si>
  <si>
    <t>spotify:track:7jRoWfRlLnGYEIEn4t4kbq</t>
  </si>
  <si>
    <t>London Bridge</t>
  </si>
  <si>
    <t>spotify:track:2NBQmPrOEEjA8VbeWOQGxO</t>
  </si>
  <si>
    <t>Snoop Dogg featuring Pharrell</t>
  </si>
  <si>
    <t>Drop It Like It's Hot</t>
  </si>
  <si>
    <t>spotify:track:0laYHRpNTS6i8FXdupHkJ4</t>
  </si>
  <si>
    <t>Love You Like a Love Song</t>
  </si>
  <si>
    <t>spotify:track:3gOBLrOvDovzHL4xBDQw0B</t>
  </si>
  <si>
    <t>Omarion</t>
  </si>
  <si>
    <t>O</t>
  </si>
  <si>
    <t>spotify:track:3w8Mw9GHYepoTWOSdiyosj</t>
  </si>
  <si>
    <t>SisqÌ_</t>
  </si>
  <si>
    <t>spotify:track:3G7XYAwtxtoGK7fAm4IlD9</t>
  </si>
  <si>
    <t>Jidenna featuring Roman GianArthur</t>
  </si>
  <si>
    <t>Classic Man</t>
  </si>
  <si>
    <t>spotify:track:0l3GEbH3CviUytD6iX4wzg</t>
  </si>
  <si>
    <t>Chingy</t>
  </si>
  <si>
    <t>Right Thurr</t>
  </si>
  <si>
    <t>spotify:track:39YovPslPCXbFYhlYjsZ2Y</t>
  </si>
  <si>
    <t>Nivea featuring Brian and Brandon Casey of Jagged Edge</t>
  </si>
  <si>
    <t>Don't Mess with My Man</t>
  </si>
  <si>
    <t>spotify:track:1pLdjo3lOBbMaoR4ZpybFH</t>
  </si>
  <si>
    <t>Ciara</t>
  </si>
  <si>
    <t>Promise</t>
  </si>
  <si>
    <t>spotify:track:6RcQOut9fWL6FSqeIr5M1r</t>
  </si>
  <si>
    <t>Hollaback Girl</t>
  </si>
  <si>
    <t>spotify:track:5ZJDSpuqaq9QjGLI0EuVXy</t>
  </si>
  <si>
    <t>Frickin' A</t>
  </si>
  <si>
    <t>Jessie's Girl</t>
  </si>
  <si>
    <t>spotify:track:5hF2LnbkpnXCkksMSeWcxZ</t>
  </si>
  <si>
    <t>Chingy featuring Tyrese</t>
  </si>
  <si>
    <t>Pullin' Me Back</t>
  </si>
  <si>
    <t>spotify:track:3dFwpxh2yH7C7p9BGEKLVB</t>
  </si>
  <si>
    <t>Ciara featuring Petey Pablo</t>
  </si>
  <si>
    <t>Goodies</t>
  </si>
  <si>
    <t>spotify:track:2EvwLVrnYbCZEG6Kx5DCRy</t>
  </si>
  <si>
    <t>Piece of Me</t>
  </si>
  <si>
    <t>spotify:track:4UC4H4vX3bJtcgtKR0ZCFJ</t>
  </si>
  <si>
    <t>Frankie J featuring Baby Bash</t>
  </si>
  <si>
    <t>Obsession (No Es Amor)</t>
  </si>
  <si>
    <t>spotify:track:5J3RechBID8luzPkCO63ZW</t>
  </si>
  <si>
    <t>Zach Heckendorf</t>
  </si>
  <si>
    <t>All the Right Places</t>
  </si>
  <si>
    <t>spotify:track:1ElXBG9yJcgSFUJr19sotM</t>
  </si>
  <si>
    <t>Ice Box</t>
  </si>
  <si>
    <t>spotify:track:0QRDrp1fm7aNeU0m0vZAY9</t>
  </si>
  <si>
    <t>Try Again</t>
  </si>
  <si>
    <t>spotify:track:7wqSzGeodspE3V6RBD5W8L</t>
  </si>
  <si>
    <t>Wiz Khalifa featuring Charlie Puth</t>
  </si>
  <si>
    <t>See You Again (from Furious 7)</t>
  </si>
  <si>
    <t>spotify:track:3DQisSEr1TLp9H0BEeKiQS</t>
  </si>
  <si>
    <t>Zara Larsson</t>
  </si>
  <si>
    <t>Uncover</t>
  </si>
  <si>
    <t>spotify:track:76hfruVvmfQbw0eYn1nmeC</t>
  </si>
  <si>
    <t>DNCE</t>
  </si>
  <si>
    <t>Cake by the Ocean</t>
  </si>
  <si>
    <t>spotify:track:5FXOEdfNW7nYQrBWtW49Cl</t>
  </si>
  <si>
    <t>When You're Mad</t>
  </si>
  <si>
    <t>spotify:track:0n4bITAu0Y0nigrz3MFJMb</t>
  </si>
  <si>
    <t>Robin Thicke featuring T.I. and Pharrell Williams</t>
  </si>
  <si>
    <t>Blurred Lines</t>
  </si>
  <si>
    <t>spotify:track:1tJkic0TURTCXw3rBhYgWu</t>
  </si>
  <si>
    <t>City High</t>
  </si>
  <si>
    <t>What Would You Do?</t>
  </si>
  <si>
    <t>spotify:track:3Gamc2D6VSlXpUcmhPUFYt</t>
  </si>
  <si>
    <t>My Love Is Like...Wo</t>
  </si>
  <si>
    <t>spotify:track:5kqIPrATaCc2LqxVWzQGbk</t>
  </si>
  <si>
    <t>7 Years</t>
  </si>
  <si>
    <t>spotify:track:1hGy2eLcmC8eKx7qr1tOqx</t>
  </si>
  <si>
    <t>Beautiful Girls</t>
  </si>
  <si>
    <t>spotify:track:38YgZVHPWOWsKrsCXz6JyP</t>
  </si>
  <si>
    <t>Matt Nathanson</t>
  </si>
  <si>
    <t>Come On Get Higher</t>
  </si>
  <si>
    <t>spotify:track:7J41dYQolQJEtj3UmKLu5r</t>
  </si>
  <si>
    <t>U Got It Bad</t>
  </si>
  <si>
    <t>spotify:track:4qM2h3xkzwGJiVv6GgL6w0</t>
  </si>
  <si>
    <t>Lady</t>
  </si>
  <si>
    <t>spotify:track:3wM5rX2XnwvTtXs58D2rKw</t>
  </si>
  <si>
    <t>Jennifer Lopez featuring Nas</t>
  </si>
  <si>
    <t>I'm Gonna Be Alright (Trackmasters Remix)</t>
  </si>
  <si>
    <t>spotify:track:5K6x90WnljxSWJwSA5Jj6i</t>
  </si>
  <si>
    <t>Bow Wow featuring Baby</t>
  </si>
  <si>
    <t>Let's Get Down</t>
  </si>
  <si>
    <t>spotify:track:55h7vJchibLdUkxdlX3fK7</t>
  </si>
  <si>
    <t>Treasure</t>
  </si>
  <si>
    <t>spotify:track:46n2EGFnPC3tzWCN1Aqe26</t>
  </si>
  <si>
    <t>This I Promise You</t>
  </si>
  <si>
    <t>spotify:track:2M9ULmQwTaTGmAdXaXpfz5</t>
  </si>
  <si>
    <t>Travie McCoy featuring Bruno Mars</t>
  </si>
  <si>
    <t>Billionaire</t>
  </si>
  <si>
    <t>spotify:track:1FxVJmIN4ANEGm458yw3Ig</t>
  </si>
  <si>
    <t>These Words (I Love You, I Love You)</t>
  </si>
  <si>
    <t>spotify:track:4SyadrABZJIjeND1HPJS31</t>
  </si>
  <si>
    <t>Ludacris</t>
  </si>
  <si>
    <t>Rollout (My Business)</t>
  </si>
  <si>
    <t>spotify:track:2nGFzvICaeEWjIrBrL2RAx</t>
  </si>
  <si>
    <t>Corinne Bailey Rae</t>
  </si>
  <si>
    <t>Put Your Records On</t>
  </si>
  <si>
    <t>spotify:track:6QON2WlAI1QayzhgebwvWd</t>
  </si>
  <si>
    <t>Ray J</t>
  </si>
  <si>
    <t>One Wish</t>
  </si>
  <si>
    <t>spotify:track:02y3FRLRlmzIpi2y8ZbN2w</t>
  </si>
  <si>
    <t>Frankie J</t>
  </si>
  <si>
    <t>Don't Wanna Try</t>
  </si>
  <si>
    <t>spotify:track:0YkJU6TjjwzsVXUPRIO0DB</t>
  </si>
  <si>
    <t>Fabolous featuring Ne-Yo</t>
  </si>
  <si>
    <t>Make Me Better</t>
  </si>
  <si>
    <t>spotify:track:1AWQoqb9bSvzTjaLralEkT</t>
  </si>
  <si>
    <t>Rock Your Body</t>
  </si>
  <si>
    <t>spotify:track:3LGeYNY9aWQuBJovOOowqm</t>
  </si>
  <si>
    <t>Bow Wow featuring T-Pain &amp; JohntÌÁ Austin</t>
  </si>
  <si>
    <t>Outta My System</t>
  </si>
  <si>
    <t>spotify:track:7EEdDKopE2INq8y1sOZuhU</t>
  </si>
  <si>
    <t>The Hardest Thing</t>
  </si>
  <si>
    <t>spotify:track:0JcKdUGNR7zI4jJDLyYXbi</t>
  </si>
  <si>
    <t>Sugarland</t>
  </si>
  <si>
    <t>Stuck Like Glue</t>
  </si>
  <si>
    <t>spotify:track:1D066zixBwqFYqBhKgdPzp</t>
  </si>
  <si>
    <t>Fergie featuring will.i.am</t>
  </si>
  <si>
    <t>Fergalicious</t>
  </si>
  <si>
    <t>spotify:track:2xLOMHjkOK8nzxJ4r6yOKR</t>
  </si>
  <si>
    <t>Birthday</t>
  </si>
  <si>
    <t>spotify:track:74jMwg2zsFMICzW3Wems6h</t>
  </si>
  <si>
    <t>B2K and P. Diddy</t>
  </si>
  <si>
    <t>Bump, Bump, Bump</t>
  </si>
  <si>
    <t>spotify:track:2UqABRs8RMrgjkYZZ6VawW</t>
  </si>
  <si>
    <t>Already Home</t>
  </si>
  <si>
    <t>spotify:track:1huvTbEYtgltjQRXzrNKGi</t>
  </si>
  <si>
    <t>Ed Sheeran</t>
  </si>
  <si>
    <t>spotify:track:6MAdEUilV2p9RQUqE5bMAK</t>
  </si>
  <si>
    <t>Jessie J</t>
  </si>
  <si>
    <t>Domino</t>
  </si>
  <si>
    <t>spotify:track:7soJgKhQTO8hLP2JPRkL5O</t>
  </si>
  <si>
    <t>Charlie Puth</t>
  </si>
  <si>
    <t>spotify:track:7ioiB40H9xKs04QtIso2I3</t>
  </si>
  <si>
    <t>Natalie La Rose featuring Jeremih</t>
  </si>
  <si>
    <t>Somebody</t>
  </si>
  <si>
    <t>spotify:track:3BsaRV5QIulYz2lV9WWa8T</t>
  </si>
  <si>
    <t>Show Me the Meaning of Being Lonely</t>
  </si>
  <si>
    <t>spotify:track:05wbsMDvcaD56O4SnESOaJ</t>
  </si>
  <si>
    <t>How to Deal</t>
  </si>
  <si>
    <t>spotify:track:2nBY2iQvxOIXrdlJvg7ZPo</t>
  </si>
  <si>
    <t>Uh Huh</t>
  </si>
  <si>
    <t>spotify:track:3HMMQkT3IMvMBbvxUNPpK3</t>
  </si>
  <si>
    <t>Jaron and the Long Road to Love</t>
  </si>
  <si>
    <t>Pray for You</t>
  </si>
  <si>
    <t>spotify:track:4hrae8atte6cRlSC9a7VCO</t>
  </si>
  <si>
    <t>Ja Rule featuring Ashanti</t>
  </si>
  <si>
    <t>Always on Time</t>
  </si>
  <si>
    <t>spotify:track:4VC5nFbYO4avKksJ9jN4pY</t>
  </si>
  <si>
    <t>Pink featuring Nate Ruess</t>
  </si>
  <si>
    <t>Just Give Me a Reason</t>
  </si>
  <si>
    <t>spotify:track:6HFXjB2fvQUBuE3B5kmvfW</t>
  </si>
  <si>
    <t>Balla Baby</t>
  </si>
  <si>
    <t>spotify:track:5cCAZS9VhLGEDV4NCfieeg</t>
  </si>
  <si>
    <t>I Wanna Go</t>
  </si>
  <si>
    <t>spotify:track:1lih9AUGlOI2qbAkptdBsr</t>
  </si>
  <si>
    <t>I'm n Luv</t>
  </si>
  <si>
    <t>spotify:track:2JZKXgq5zsokN01KWyiY6n</t>
  </si>
  <si>
    <t>Mirrors</t>
  </si>
  <si>
    <t>spotify:track:4Ce37cRWvM1vIGGynKcs22</t>
  </si>
  <si>
    <t>Hailee Steinfeld and Grey featuring Zedd</t>
  </si>
  <si>
    <t>Starving</t>
  </si>
  <si>
    <t>spotify:track:4nS1sut0R2mgmFitKIShVe</t>
  </si>
  <si>
    <t>On My Mind</t>
  </si>
  <si>
    <t>spotify:track:45EDI3rk0f4cAMt9f8b56R</t>
  </si>
  <si>
    <t>Shontelle</t>
  </si>
  <si>
    <t>Impossible</t>
  </si>
  <si>
    <t>spotify:track:6TlRNJaezOdzdECnQeRuMM</t>
  </si>
  <si>
    <t>J. Holiday</t>
  </si>
  <si>
    <t>Bed</t>
  </si>
  <si>
    <t>spotify:track:13TLJoULQX4YAwyJwKR2DC</t>
  </si>
  <si>
    <t>Jessica Jarrell</t>
  </si>
  <si>
    <t>Almost Love (24/7)</t>
  </si>
  <si>
    <t>spotify:track:7aXuop4Qambx5Oi3ynsKQr</t>
  </si>
  <si>
    <t>Usher featuring Juicy J</t>
  </si>
  <si>
    <t>I Don't Mind</t>
  </si>
  <si>
    <t>spotify:track:4Xf7EL8G6FRYwvJADl0nf4</t>
  </si>
  <si>
    <t>Dev featuring The Cataracs</t>
  </si>
  <si>
    <t>Bass Down Low</t>
  </si>
  <si>
    <t>spotify:track:2iXBZ32Fz5VDCLeE0JIdX5</t>
  </si>
  <si>
    <t>Better in Time</t>
  </si>
  <si>
    <t>spotify:track:6Bd9hh3O9DMjm8hws64D0z</t>
  </si>
  <si>
    <t>Tell Me It's Real</t>
  </si>
  <si>
    <t>spotify:track:6wZI4mdT8JwXgkGURnBQiq</t>
  </si>
  <si>
    <t>John Mayer</t>
  </si>
  <si>
    <t>Say</t>
  </si>
  <si>
    <t>spotify:track:4gJoAvFpDvaeqm2EKYGmhb</t>
  </si>
  <si>
    <t>Daniel Bedingfield</t>
  </si>
  <si>
    <t>If You're Not the One</t>
  </si>
  <si>
    <t>spotify:track:5g0i6B7xPsaldRbjxMd2OL</t>
  </si>
  <si>
    <t>Jodie Abacus</t>
  </si>
  <si>
    <t>I'll Be That Friend</t>
  </si>
  <si>
    <t>spotify:track:7fyM2vh7jf9e869E6bXqyY</t>
  </si>
  <si>
    <t>Nicky Davey</t>
  </si>
  <si>
    <t>Been Lovin' You</t>
  </si>
  <si>
    <t>spotify:track:0aj2QKJvz6CePykmlTApiD</t>
  </si>
  <si>
    <t>SeÌ±orita</t>
  </si>
  <si>
    <t>spotify:track:5auMzVHFr5Zfw6IbKarZ56</t>
  </si>
  <si>
    <t>Anna Nalick</t>
  </si>
  <si>
    <t>Breathe (2 AM)</t>
  </si>
  <si>
    <t>spotify:track:746nPV2NXSoxW3imGpG8gk</t>
  </si>
  <si>
    <t>Beenie Man featuring Ms. Thing</t>
  </si>
  <si>
    <t>Dude</t>
  </si>
  <si>
    <t>spotify:track:14B2bUopOga5V3ypld7d6n</t>
  </si>
  <si>
    <t>Baby Bash featuring Frankie J.</t>
  </si>
  <si>
    <t>Suga Suga</t>
  </si>
  <si>
    <t>spotify:track:3ZQOiEPk08xaCSfXcy9ovT</t>
  </si>
  <si>
    <t>R. Kelly</t>
  </si>
  <si>
    <t>I Wish</t>
  </si>
  <si>
    <t>spotify:track:5zd9TgduWbfFXwgnm3K3Rz</t>
  </si>
  <si>
    <t>Three 6 Mafia</t>
  </si>
  <si>
    <t>Poppin' My Collar</t>
  </si>
  <si>
    <t>spotify:track:7kAFSrTIOiVZ0gnHBuAH3l</t>
  </si>
  <si>
    <t>Nelly featuring St. Lunatics</t>
  </si>
  <si>
    <t>Air Force Ones</t>
  </si>
  <si>
    <t>spotify:track:6wFemJ1Oh4gnTalNKgtvBg</t>
  </si>
  <si>
    <t>No Doubt featuring Lady Saw</t>
  </si>
  <si>
    <t>Underneath It All</t>
  </si>
  <si>
    <t>spotify:track:6c0GmyBsE7mQtrVvxJaWc3</t>
  </si>
  <si>
    <t>Fabolous featuring The-Dream</t>
  </si>
  <si>
    <t>Throw It in the Bag</t>
  </si>
  <si>
    <t>spotify:track:1qmJbXpVLydNcN6VTR40GU</t>
  </si>
  <si>
    <t>Cherry Poppin' Daddies</t>
  </si>
  <si>
    <t>Zoot Suit Riot</t>
  </si>
  <si>
    <t>spotify:track:2VhKDAZzcjKZE7BxI9uplq</t>
  </si>
  <si>
    <t>TÌ©lÌ©popmusik</t>
  </si>
  <si>
    <t>Breathe</t>
  </si>
  <si>
    <t>spotify:track:5SUMCn9tWrEn2LZDeQMwZs</t>
  </si>
  <si>
    <t>Maggie Rogers</t>
  </si>
  <si>
    <t>Alaska</t>
  </si>
  <si>
    <t>spotify:track:04KTF78FFg8sOHC1BADqbY</t>
  </si>
  <si>
    <t>Hot in Herre</t>
  </si>
  <si>
    <t>spotify:track:5mkGfmJGFZpwK9nA5amOhv</t>
  </si>
  <si>
    <t>Marcy Playground</t>
  </si>
  <si>
    <t>Sex &amp; Candy</t>
  </si>
  <si>
    <t>spotify:track:32OlwWuMpZ6b0aN2RZOeMS</t>
  </si>
  <si>
    <t>Mark Ronson featuring Bruno Mars</t>
  </si>
  <si>
    <t>Uptown Funk</t>
  </si>
  <si>
    <t>spotify:track:6De63WRULDaa1fxOyLilnv</t>
  </si>
  <si>
    <t>Ginuwine</t>
  </si>
  <si>
    <t>Stingy</t>
  </si>
  <si>
    <t>spotify:track:5ojJNnX5ND2gMGojPd3NiO</t>
  </si>
  <si>
    <t>In Those Jeans</t>
  </si>
  <si>
    <t>spotify:track:0O5b1927V6FbLsZRtf7idi</t>
  </si>
  <si>
    <t>Differences</t>
  </si>
  <si>
    <t>spotify:track:0qAMjeQFyd1qD0LDiV8gWp</t>
  </si>
  <si>
    <t>Black Horse and the Cherry Tree</t>
  </si>
  <si>
    <t>spotify:track:5OVofGV3opkR1hq0C9RSCu</t>
  </si>
  <si>
    <t>Five for Fighting</t>
  </si>
  <si>
    <t>100 Years</t>
  </si>
  <si>
    <t>spotify:track:0k2GOhqsrxDTAbFFSdNJjT</t>
  </si>
  <si>
    <t>Sean Paul</t>
  </si>
  <si>
    <t>Temperature</t>
  </si>
  <si>
    <t>spotify:track:2TTYIwTM2iLC1YOyHuhRMt</t>
  </si>
  <si>
    <t>Lucky</t>
  </si>
  <si>
    <t>spotify:track:4bGLXiNEPtV6cNIgRRPc1C</t>
  </si>
  <si>
    <t>Classified</t>
  </si>
  <si>
    <t>That's What I Do</t>
  </si>
  <si>
    <t>spotify:track:2YlZnw2ikdb837oKMKjBkW</t>
  </si>
  <si>
    <t>Meghan Trainor featuring John Legend</t>
  </si>
  <si>
    <t>Like I'm Gonna Lose You</t>
  </si>
  <si>
    <t>spotify:track:7w87IxuO7BDcJ3YUqCyMTT</t>
  </si>
  <si>
    <t>Foster the People</t>
  </si>
  <si>
    <t>Pumped Up Kicks</t>
  </si>
  <si>
    <t>spotify:track:4z1gmF4S1YsTj1pxiU47Qx</t>
  </si>
  <si>
    <t>Hellogoodbye</t>
  </si>
  <si>
    <t>Here (In Your Arms)</t>
  </si>
  <si>
    <t>spotify:track:5xhQChGGhKLWqBqX4XhtYE</t>
  </si>
  <si>
    <t>Awolnation</t>
  </si>
  <si>
    <t>Sail</t>
  </si>
  <si>
    <t>spotify:track:3MjUtNVVq3C8Fn0MP3zhXa</t>
  </si>
  <si>
    <t>...Baby One More Time</t>
  </si>
  <si>
    <t>spotify:track:2T4rXDppGlcy2lLuF4IyHq</t>
  </si>
  <si>
    <t>Amanda Perez</t>
  </si>
  <si>
    <t>Angel</t>
  </si>
  <si>
    <t>spotify:track:2Gy3XMLbBxACZ4tXdFRGr7</t>
  </si>
  <si>
    <t>Little Big Town</t>
  </si>
  <si>
    <t>Pontoon</t>
  </si>
  <si>
    <t>spotify:track:1ExfPZEiahqhLyajhybFeS</t>
  </si>
  <si>
    <t>The Lazy Song</t>
  </si>
  <si>
    <t>spotify:track:6XsT5UGfpaFeHQf5LRIy4W</t>
  </si>
  <si>
    <t>Me, Myself and I</t>
  </si>
  <si>
    <t>spotify:track:5RIVoVdkDLEygELLCniZFr</t>
  </si>
  <si>
    <t>SilentÌ_</t>
  </si>
  <si>
    <t>Watch Me (Whip/Nae Nae)</t>
  </si>
  <si>
    <t>spotify:track:4XHQyvbrBsQaaBUW1VvmsL</t>
  </si>
  <si>
    <t>D12</t>
  </si>
  <si>
    <t>My Band</t>
  </si>
  <si>
    <t>spotify:track:13X42np3KJr0o2LkK1MG76</t>
  </si>
  <si>
    <t>Justin Timberlake featuring T.I.</t>
  </si>
  <si>
    <t>My Love</t>
  </si>
  <si>
    <t>spotify:track:77S8pBH3ilaDIPmTJkRNQn</t>
  </si>
  <si>
    <t>R. Kelly featuring Jay-Z and Boo &amp; Gotti</t>
  </si>
  <si>
    <t>Fiesta Remix</t>
  </si>
  <si>
    <t>spotify:track:0Aqlt4N5h6rUtKnd09VXpr</t>
  </si>
  <si>
    <t>Nelly featuring Paul Wall and Ali &amp; Gipp</t>
  </si>
  <si>
    <t>Grillz</t>
  </si>
  <si>
    <t>spotify:track:3BwR5psKNxcyqWoc80eOuq</t>
  </si>
  <si>
    <t>LANY</t>
  </si>
  <si>
    <t>ILYSB</t>
  </si>
  <si>
    <t>spotify:track:1T1ZUKX4X87tVLaBGjwFv4</t>
  </si>
  <si>
    <t>Nick Cannon featuring R. Kelly</t>
  </si>
  <si>
    <t>Gigolo</t>
  </si>
  <si>
    <t>spotify:track:5TAf4lnZCZTLlZHNZMLFLi</t>
  </si>
  <si>
    <t>Macy Gray</t>
  </si>
  <si>
    <t>I Try</t>
  </si>
  <si>
    <t>spotify:track:1vkrNCD54x9p4ZQdojjNyE</t>
  </si>
  <si>
    <t>soulDecision</t>
  </si>
  <si>
    <t>Faded</t>
  </si>
  <si>
    <t>spotify:track:1UI0l2L66HJ9AtoEOlHzv4</t>
  </si>
  <si>
    <t>Sometimes</t>
  </si>
  <si>
    <t>spotify:track:6njG8EYG1lrROn8P6q46eq</t>
  </si>
  <si>
    <t>Murphy Lee featuring Jermaine Dupri</t>
  </si>
  <si>
    <t>Wat Da Hook Gon Be</t>
  </si>
  <si>
    <t>spotify:track:6ldwfK0yWgTAlmIfuQkTYN</t>
  </si>
  <si>
    <t>I'm a Slave 4 U</t>
  </si>
  <si>
    <t>spotify:track:6NPVjNh8Jhru9xOmyQigds</t>
  </si>
  <si>
    <t>Pharrell Williams</t>
  </si>
  <si>
    <t>Happy</t>
  </si>
  <si>
    <t>spotify:track:6ctr1K7KzKErxbfGAynL8A</t>
  </si>
  <si>
    <t>Joe</t>
  </si>
  <si>
    <t>I Wanna Know</t>
  </si>
  <si>
    <t>spotify:track:10aWGOqSDBqvNzJ9NeKDbK</t>
  </si>
  <si>
    <t>Sexy Love</t>
  </si>
  <si>
    <t>spotify:track:5Db9VIdDsN5yu3Eu7CT0i4</t>
  </si>
  <si>
    <t>Sam Smith</t>
  </si>
  <si>
    <t>Stay with Me</t>
  </si>
  <si>
    <t>spotify:track:62cYasTwBy6Y7pstdSTmHu</t>
  </si>
  <si>
    <t>LoveStoned</t>
  </si>
  <si>
    <t>spotify:track:5Bi7SC49g4neuXwzgXBeFy</t>
  </si>
  <si>
    <t>Ain't It Funny</t>
  </si>
  <si>
    <t>spotify:track:4cS2HQ6jK80vqdY9ofpztx</t>
  </si>
  <si>
    <t>She Wolf</t>
  </si>
  <si>
    <t>spotify:track:1rzssdgfZiGs7VAMsYN9SF</t>
  </si>
  <si>
    <t>S Club 7</t>
  </si>
  <si>
    <t>Never Had a Dream Come True</t>
  </si>
  <si>
    <t>spotify:track:2sCl0FFOzZSmYZs90zOpd1</t>
  </si>
  <si>
    <t>Anna Kendrick</t>
  </si>
  <si>
    <t>Cups (Pitch Perfect's When I'm Gone)</t>
  </si>
  <si>
    <t>spotify:track:6KUI3A3jmZ0cGLDzOT41lX</t>
  </si>
  <si>
    <t>Beenie Man featuring Janet Jackson</t>
  </si>
  <si>
    <t>Feel It Boy</t>
  </si>
  <si>
    <t>spotify:track:0CofintZCm8MhxiOMrauiT</t>
  </si>
  <si>
    <t>Ideal</t>
  </si>
  <si>
    <t>Get Gone</t>
  </si>
  <si>
    <t>spotify:track:37FXw5QGFN7uwwsLy8uAc0</t>
  </si>
  <si>
    <t>Charlie Puth featuring Selena Gomez</t>
  </si>
  <si>
    <t>We Don't Talk Anymore</t>
  </si>
  <si>
    <t>spotify:track:2BepFzUWfczDk68DXj10w3</t>
  </si>
  <si>
    <t>spotify:track:3VA8T3rNy5V24AXxNK5u9E</t>
  </si>
  <si>
    <t>King of Anything</t>
  </si>
  <si>
    <t>spotify:track:6oDPg7fXW3Ug3KmbafrXzA</t>
  </si>
  <si>
    <t>Wrecking Ball</t>
  </si>
  <si>
    <t>spotify:track:61ehOd7NByNLD1C5AcQhEb</t>
  </si>
  <si>
    <t>Savage featuring Soulja Boy Tell 'Em</t>
  </si>
  <si>
    <t>Swing</t>
  </si>
  <si>
    <t>spotify:track:1OtWwtGFPXVhdAVKZHwrNF</t>
  </si>
  <si>
    <t>Elvis Presley</t>
  </si>
  <si>
    <t>Suspicious Minds (Live In Concert)</t>
  </si>
  <si>
    <t>spotify:track:0lZxd99ZIjA0zUdQAY3FXr</t>
  </si>
  <si>
    <t>You'll Think of Me</t>
  </si>
  <si>
    <t>spotify:track:5KONnBIQ9LqCxyeSPin26k</t>
  </si>
  <si>
    <t>Trumpets</t>
  </si>
  <si>
    <t>spotify:track:4675yUu8AUbE72T94BkLCD</t>
  </si>
  <si>
    <t>Snoop Dogg featuring Pharrell and Charlie Wilson</t>
  </si>
  <si>
    <t>Beautiful</t>
  </si>
  <si>
    <t>spotify:track:0O45fw2L5vsWpdsOdXwNAR</t>
  </si>
  <si>
    <t>Justin Timberlake featuring Timbaland</t>
  </si>
  <si>
    <t>SexyBack</t>
  </si>
  <si>
    <t>spotify:track:2SWCpL8ytxmP1eqKgM7ePd</t>
  </si>
  <si>
    <t>Alex B</t>
  </si>
  <si>
    <t>Too Cool</t>
  </si>
  <si>
    <t>spotify:track:15f8Cv8RXUlOOCIf2oaceN</t>
  </si>
  <si>
    <t>Underneath Your Clothes</t>
  </si>
  <si>
    <t>spotify:track:1ddEJFVOCOjNqh19FTQAsX</t>
  </si>
  <si>
    <t>Only You Can Love Me This Way</t>
  </si>
  <si>
    <t>spotify:track:34ceTg8ChN5HjrqiIYCn9Q</t>
  </si>
  <si>
    <t>Miss Independent</t>
  </si>
  <si>
    <t>spotify:track:06ZDLodo1UDVavc3MXREZ3</t>
  </si>
  <si>
    <t>Jagged Edge</t>
  </si>
  <si>
    <t>Walked Outta Heaven</t>
  </si>
  <si>
    <t>spotify:track:0qy5D3OJre7SPJNMOL9I71</t>
  </si>
  <si>
    <t>D.R.A.M. featuring Lil Yachty</t>
  </si>
  <si>
    <t>Broccoli</t>
  </si>
  <si>
    <t>spotify:track:52K4Nl7eVNqUpUeJeWJlwT</t>
  </si>
  <si>
    <t>Break the Ice</t>
  </si>
  <si>
    <t>spotify:track:7MoKXLQeI0Bh2QodCjDO4K</t>
  </si>
  <si>
    <t>Can't Get You Out of My Head</t>
  </si>
  <si>
    <t>spotify:track:7tNU9Ax7hzHA4nzo57aZb3</t>
  </si>
  <si>
    <t>If I Could Turn Back the Hands of Time</t>
  </si>
  <si>
    <t>spotify:track:5kNe7PE09d6Kvw5pAsx23n</t>
  </si>
  <si>
    <t>Thomas Rhett</t>
  </si>
  <si>
    <t>Die a Happy Man</t>
  </si>
  <si>
    <t>spotify:track:0qcr5FMsEO85NAQjrlDRKo</t>
  </si>
  <si>
    <t>Idina Menzel</t>
  </si>
  <si>
    <t>Let It Go</t>
  </si>
  <si>
    <t>spotify:track:0DdpxWfVvUGgkJv5536tiF</t>
  </si>
  <si>
    <t>Ray J featuring Yung Berg</t>
  </si>
  <si>
    <t>Sexy Can I?</t>
  </si>
  <si>
    <t>spotify:track:47nm8czanMUzIqHsnr5x61</t>
  </si>
  <si>
    <t>Toby Keith</t>
  </si>
  <si>
    <t>Red Solo Cup</t>
  </si>
  <si>
    <t>spotify:track:0YGQ3hZcRLC5YX7o0hdmHg</t>
  </si>
  <si>
    <t>Naughty Girl</t>
  </si>
  <si>
    <t>spotify:track:1NxQeMVFB5VZ1vQEk4lNvd</t>
  </si>
  <si>
    <t>Dave Barnes</t>
  </si>
  <si>
    <t>Little Lies</t>
  </si>
  <si>
    <t>spotify:track:7Bc7VX0EvuqcPQKB1ryl9n</t>
  </si>
  <si>
    <t>Jamie Scott</t>
  </si>
  <si>
    <t>Unbreakable</t>
  </si>
  <si>
    <t>spotify:track:5W1L4M0wc0ZNFKiHp3rRLK</t>
  </si>
  <si>
    <t>Baby Bash featuring Perla Cruz &amp; Russell Lee</t>
  </si>
  <si>
    <t>Shorty Doowop</t>
  </si>
  <si>
    <t>spotify:track:66TRwr5uJwPt15mfFkzhbi</t>
  </si>
  <si>
    <t>Soulja Boy Tell 'Em</t>
  </si>
  <si>
    <t>Crank That (Soulja Boy)</t>
  </si>
  <si>
    <t>spotify:track:1HNkqx9Ahdgi1Ixy2xkKkL</t>
  </si>
  <si>
    <t>spotify:track:4kVerExpcM23ooNGKb7jLV</t>
  </si>
  <si>
    <t>Teyana Taylor featuring Pusha T and Yo Gotti</t>
  </si>
  <si>
    <t>spotify:track:4s0o8TJHfX9LLHa0umnOzT</t>
  </si>
  <si>
    <t>Lil' Flip featuring Lea</t>
  </si>
  <si>
    <t>Sunshine</t>
  </si>
  <si>
    <t>spotify:track:0Sg5kWoILCs2zBoIHIsDAa</t>
  </si>
  <si>
    <t>Making Memories of Us</t>
  </si>
  <si>
    <t>spotify:track:3aw9iWUQ3VrPQltgwvN9Xu</t>
  </si>
  <si>
    <t>Family Affair</t>
  </si>
  <si>
    <t>spotify:track:4cIwg5VY8Lo1NYwq7llOth</t>
  </si>
  <si>
    <t>Ben Harper</t>
  </si>
  <si>
    <t>Steal My Kisses</t>
  </si>
  <si>
    <t>spotify:track:44ssa5Vilw1qJ79wZKfZgx</t>
  </si>
  <si>
    <t>Thoia Thoing</t>
  </si>
  <si>
    <t>spotify:track:2ih2U8ttFzCjnQ5njF3SrR</t>
  </si>
  <si>
    <t>Gorilla</t>
  </si>
  <si>
    <t>spotify:track:7nbLDEX5VrZt70uvYDQ4cQ</t>
  </si>
  <si>
    <t>Baby Bash featuring Akon</t>
  </si>
  <si>
    <t>Baby I'm Back</t>
  </si>
  <si>
    <t>spotify:track:5UzU0qw21okODBNUnxptVo</t>
  </si>
  <si>
    <t>Jerrod Niemann</t>
  </si>
  <si>
    <t>Lover, Lover</t>
  </si>
  <si>
    <t>spotify:track:5dTJMpqiELczVuHJP3OAEu</t>
  </si>
  <si>
    <t>Niall Horan</t>
  </si>
  <si>
    <t>This Town</t>
  </si>
  <si>
    <t>spotify:track:1Hck0Y3AgGLIvv9pRuq3ti</t>
  </si>
  <si>
    <t>Celine Dion</t>
  </si>
  <si>
    <t>A New Day Has Come</t>
  </si>
  <si>
    <t>spotify:track:6ihObRBTB8xdSH2mlERtOX</t>
  </si>
  <si>
    <t>Juvenile featuring Soulja Slim</t>
  </si>
  <si>
    <t>Slow Motion</t>
  </si>
  <si>
    <t>spotify:track:797CpoPvCoS5pV5zqUKQ5S</t>
  </si>
  <si>
    <t>Jack and Eliza</t>
  </si>
  <si>
    <t>Hold the Line</t>
  </si>
  <si>
    <t>spotify:track:0fioLzGM8ngbD1w6fMmm45</t>
  </si>
  <si>
    <t>I'm Not the Only One</t>
  </si>
  <si>
    <t>spotify:track:3RmKpob8xzv1pzHEQrMJah</t>
  </si>
  <si>
    <t>Eve featuring Gwen Stefani</t>
  </si>
  <si>
    <t>Let Me Blow Ya Mind</t>
  </si>
  <si>
    <t>spotify:track:4FTOpNYcGxnQdGNWSxIcio</t>
  </si>
  <si>
    <t>Destiny's Child featuring T.I. and Lil Wayne</t>
  </si>
  <si>
    <t>Soldier</t>
  </si>
  <si>
    <t>spotify:track:4CCUjYJPbSXLL23BFeBVbI</t>
  </si>
  <si>
    <t>N Sync</t>
  </si>
  <si>
    <t>Gone</t>
  </si>
  <si>
    <t>spotify:track:6ukMqDxnOPOgoHdak7Kyp3</t>
  </si>
  <si>
    <t>Charlie Puth featuring Meghan Trainor</t>
  </si>
  <si>
    <t>Marvin Gaye</t>
  </si>
  <si>
    <t>spotify:track:68K0qD0VDqdm0eWXsGqnvM</t>
  </si>
  <si>
    <t>Savage Garden</t>
  </si>
  <si>
    <t>I Knew I Loved You</t>
  </si>
  <si>
    <t>spotify:track:015A6ZcNAWSSuwY7iDcD1b</t>
  </si>
  <si>
    <t>When a Woman's Fed Up (Clean Version)</t>
  </si>
  <si>
    <t>spotify:track:02eD9ymfJOJOhM97HYp5R9</t>
  </si>
  <si>
    <t>Miranda Lambert</t>
  </si>
  <si>
    <t>The House That Built Me</t>
  </si>
  <si>
    <t>spotify:track:1XMjzq2p5v4CSWf8v6Diuh</t>
  </si>
  <si>
    <t>Pia Mia</t>
  </si>
  <si>
    <t>spotify:track:6Hn9Uc1mMNfqChXU3txNke</t>
  </si>
  <si>
    <t>Mad</t>
  </si>
  <si>
    <t>spotify:track:34gCuhDGsG4bRPIf9bb02f</t>
  </si>
  <si>
    <t>Thinking Out Loud</t>
  </si>
  <si>
    <t>spotify:track:5jx8tCxiO0uIbo2uNia23K</t>
  </si>
  <si>
    <t>The One That Got Away</t>
  </si>
  <si>
    <t>spotify:track:04UVqH7qE1vPhtuN9kud5E</t>
  </si>
  <si>
    <t>ZZ Ward</t>
  </si>
  <si>
    <t>Last Love Song</t>
  </si>
  <si>
    <t>spotify:track:0AcLrSfAEBQcUnHOTm5pXg</t>
  </si>
  <si>
    <t>Montell Jordan</t>
  </si>
  <si>
    <t>Get It On Tonite</t>
  </si>
  <si>
    <t>spotify:track:5EDUIiDf1Sp6nVnmCMRxa2</t>
  </si>
  <si>
    <t>Independent Women Part I</t>
  </si>
  <si>
    <t>spotify:track:3Bse3ExYet32iYI3KAzvSf</t>
  </si>
  <si>
    <t>The Secret Sisters</t>
  </si>
  <si>
    <t>Tennessee Me</t>
  </si>
  <si>
    <t>spotify:track:0BHNSNcbTxQSwxXNnr9oUw</t>
  </si>
  <si>
    <t>Tonight I Wanna Cry</t>
  </si>
  <si>
    <t>spotify:track:3nJjIYchBNkYm7B8XfJf5N</t>
  </si>
  <si>
    <t>Suffocate</t>
  </si>
  <si>
    <t>spotify:track:1PoGWZbJPGmViVi7CYbDUK</t>
  </si>
  <si>
    <t>Drink a Beer</t>
  </si>
  <si>
    <t>spotify:track:39NbYswuOtCUXSdtwoolsC</t>
  </si>
  <si>
    <t>Lyfe Jennings featuring LaLa Brown</t>
  </si>
  <si>
    <t>S.E.X.</t>
  </si>
  <si>
    <t>spotify:track:7vRriwrloYVaoAe3a9wJHe</t>
  </si>
  <si>
    <t>Gnash featuring Olivia O'Brien</t>
  </si>
  <si>
    <t>I Hate U, I Love U</t>
  </si>
  <si>
    <t>spotify:track:5O2P9iiztwhomNh8xkR9lJ</t>
  </si>
  <si>
    <t>Night Changes</t>
  </si>
  <si>
    <t>spotify:track:65nCVhtlWYUzNvcM1MYp4l</t>
  </si>
  <si>
    <t>Dixie Chicks</t>
  </si>
  <si>
    <t>Landslide</t>
  </si>
  <si>
    <t>spotify:track:3DWOTqMQGp5q75fnVsWwaN</t>
  </si>
  <si>
    <t>Plain White T's</t>
  </si>
  <si>
    <t>Hey There Delilah</t>
  </si>
  <si>
    <t>spotify:track:6CFPFnS9EcLs2I0nWqtWci</t>
  </si>
  <si>
    <t>spotify:track:4wCmqSrbyCgxEXROQE6vtV</t>
  </si>
  <si>
    <t>Gotye featuring Kimbra</t>
  </si>
  <si>
    <t>Somebody That I Used to Know</t>
  </si>
  <si>
    <t>spotify:track:13xxBnXOuiBxVxJI458B0i</t>
  </si>
  <si>
    <t>Unfaithful</t>
  </si>
  <si>
    <t>spotify:track:13HVjjWUZFaWilh2QUJKsP</t>
  </si>
  <si>
    <t>James Bay</t>
  </si>
  <si>
    <t>spotify:track:1EzrEOXmMH3G43AXT1y7pA</t>
  </si>
  <si>
    <t>Jason Mraz</t>
  </si>
  <si>
    <t>I'm Yours</t>
  </si>
  <si>
    <t>spotify:track:1VdZ0vKfR5jneCmWIUAMxK</t>
  </si>
  <si>
    <t>The A Team</t>
  </si>
  <si>
    <t>spotify:track:5KqEPvurLuOoV64tNylPO6</t>
  </si>
  <si>
    <t>D.H.T. featuring EdmÌ©e</t>
  </si>
  <si>
    <t>Listen to Your Heart</t>
  </si>
  <si>
    <t>spotify:track:1TQ6a2NEA8LmKfgf0yeBvT</t>
  </si>
  <si>
    <t>Baz Luhrmann</t>
  </si>
  <si>
    <t>Everybody's Free (To Wear Sunscreen) (Edit)</t>
  </si>
  <si>
    <t>spotify:track:5FEXPoPnzueFJQCPRIrC3c</t>
  </si>
  <si>
    <t>Kid Cudi</t>
  </si>
  <si>
    <t>Day 'n' Nite</t>
  </si>
  <si>
    <t>spotify:track:0dRhSF9LV0HR8Jwd3MMMKJ</t>
  </si>
  <si>
    <t>Everytime</t>
  </si>
  <si>
    <t>spotify:track:4kflIGfjdZJW4ot2ioixTB</t>
  </si>
  <si>
    <t>Someone like You</t>
  </si>
  <si>
    <t>spotify:track:2OT1u6a15DmFX7yMyTmAwb</t>
  </si>
  <si>
    <t>Miss You</t>
  </si>
  <si>
    <t>spotify:track:2mp3sLUNQaJ025Lx5f4AAJ</t>
  </si>
  <si>
    <t>Lyfe Jennings</t>
  </si>
  <si>
    <t>Must Be Nice</t>
  </si>
  <si>
    <t>spotify:track:6Vc5wAMmXdKIAM7WUoEb7N</t>
  </si>
  <si>
    <t>A Great Big World and Christina Aguilera</t>
  </si>
  <si>
    <t>Say Something</t>
  </si>
  <si>
    <t>spotify:track:5rwq6R0Uq0BngM3rdmCeNg</t>
  </si>
  <si>
    <t>Howie Day</t>
  </si>
  <si>
    <t>Collide</t>
  </si>
  <si>
    <t>spotify:track:4PzPvpE63ttEbKyMDRWB6q</t>
  </si>
  <si>
    <t>The First Cut Is the Deepest</t>
  </si>
  <si>
    <t>spotify:track:11qh54D0PKkBwelpDxxiEU</t>
  </si>
  <si>
    <t>Girl Crush</t>
  </si>
  <si>
    <t>spotify:track:50kpGaPAhYJ3sGmk6vplg0</t>
  </si>
  <si>
    <t>Love Yourself</t>
  </si>
  <si>
    <t>spotify:track:3U4isOIWM3VvDubwSI3y7a</t>
  </si>
  <si>
    <t>All of Me</t>
  </si>
  <si>
    <t>spotify:track:0co132mIFsQP8TlydDqCSG</t>
  </si>
  <si>
    <t>Piece by Piece (Idol version)</t>
  </si>
  <si>
    <t>spotify:track:0nJW01T7XtvILxQgC5J7Wh</t>
  </si>
  <si>
    <t>When I Was Your Man</t>
  </si>
  <si>
    <t>spotify:track:58CrldAc1Z5WIBozT1NMJH</t>
  </si>
  <si>
    <t>Ordinary People</t>
  </si>
  <si>
    <t>spotify:track:7zkLpY72g6lKQbiHDqri1S</t>
  </si>
  <si>
    <t>Norah Jones</t>
  </si>
  <si>
    <t>Sunrise</t>
  </si>
  <si>
    <t>spotify:track:6ybViy2qrO9sIi41EgRJgx</t>
  </si>
  <si>
    <t>Don't Know Why</t>
  </si>
  <si>
    <t>Angry</t>
  </si>
  <si>
    <t>Sad</t>
  </si>
  <si>
    <t>Hyper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</si>
</sst>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W1230"/>
  <sheetViews>
    <sheetView tabSelected="1" workbookViewId="0">
      <selection activeCell="P39" sqref="P39"/>
    </sheetView>
  </sheetViews>
  <sheetFormatPr baseColWidth="10" defaultRowHeight="16" x14ac:dyDescent="0.2"/>
  <cols>
    <col min="19" max="19" width="25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3158</v>
      </c>
      <c r="U1" t="s">
        <v>2908</v>
      </c>
      <c r="V1" t="s">
        <v>3159</v>
      </c>
      <c r="W1" t="s">
        <v>3160</v>
      </c>
    </row>
    <row r="2" spans="1:23" hidden="1" x14ac:dyDescent="0.2">
      <c r="H2">
        <v>251</v>
      </c>
      <c r="L2">
        <v>33</v>
      </c>
      <c r="Q2">
        <v>16</v>
      </c>
      <c r="R2" t="s">
        <v>316</v>
      </c>
      <c r="S2" t="s">
        <v>317</v>
      </c>
      <c r="T2">
        <f>I2*-0.5+J2*-0.5+M2*0.5</f>
        <v>0</v>
      </c>
      <c r="U2">
        <f>I2*0.33+M2*0.33+G2*0.33</f>
        <v>0</v>
      </c>
      <c r="V2">
        <f>J2*-0.33+M2*-0.33+I2*-0.33</f>
        <v>0</v>
      </c>
    </row>
    <row r="3" spans="1:23" hidden="1" x14ac:dyDescent="0.2">
      <c r="H3">
        <v>208</v>
      </c>
      <c r="L3">
        <v>33</v>
      </c>
      <c r="Q3">
        <v>19</v>
      </c>
      <c r="R3" t="s">
        <v>318</v>
      </c>
      <c r="S3" t="s">
        <v>319</v>
      </c>
      <c r="T3">
        <f>I3*-0.5+J3*-0.5+M3*0.5</f>
        <v>0</v>
      </c>
      <c r="U3">
        <f>I3*0.33+M3*0.33+G3*0.33</f>
        <v>0</v>
      </c>
      <c r="V3">
        <f>J3*-0.33+M3*-0.33+I3*-0.33</f>
        <v>0</v>
      </c>
    </row>
    <row r="4" spans="1:23" hidden="1" x14ac:dyDescent="0.2">
      <c r="H4">
        <v>213</v>
      </c>
      <c r="L4">
        <v>8</v>
      </c>
      <c r="Q4">
        <v>6</v>
      </c>
      <c r="R4" t="s">
        <v>320</v>
      </c>
      <c r="S4" t="s">
        <v>321</v>
      </c>
      <c r="T4">
        <f>I4*-0.5+J4*-0.5+M4*0.5</f>
        <v>0</v>
      </c>
      <c r="U4">
        <f>I4*0.33+M4*0.33+G4*0.33</f>
        <v>0</v>
      </c>
      <c r="V4">
        <f>J4*-0.33+M4*-0.33+I4*-0.33</f>
        <v>0</v>
      </c>
    </row>
    <row r="5" spans="1:23" hidden="1" x14ac:dyDescent="0.2">
      <c r="H5">
        <v>208</v>
      </c>
      <c r="L5">
        <v>8</v>
      </c>
      <c r="Q5">
        <v>14</v>
      </c>
      <c r="R5" t="s">
        <v>322</v>
      </c>
      <c r="S5" t="s">
        <v>323</v>
      </c>
      <c r="T5">
        <f>I5*-0.5+J5*-0.5+M5*0.5</f>
        <v>0</v>
      </c>
      <c r="U5">
        <f>I5*0.33+M5*0.33+G5*0.33</f>
        <v>0</v>
      </c>
      <c r="V5">
        <f>J5*-0.33+M5*-0.33+I5*-0.33</f>
        <v>0</v>
      </c>
    </row>
    <row r="6" spans="1:23" hidden="1" x14ac:dyDescent="0.2">
      <c r="H6">
        <v>192</v>
      </c>
      <c r="L6">
        <v>17</v>
      </c>
      <c r="Q6">
        <v>11</v>
      </c>
      <c r="R6" t="s">
        <v>324</v>
      </c>
      <c r="S6" t="s">
        <v>325</v>
      </c>
      <c r="T6">
        <f>I6*-0.5+J6*-0.5+M6*0.5</f>
        <v>0</v>
      </c>
      <c r="U6">
        <f>I6*0.33+M6*0.33+G6*0.33</f>
        <v>0</v>
      </c>
      <c r="V6">
        <f>J6*-0.33+M6*-0.33+I6*-0.33</f>
        <v>0</v>
      </c>
    </row>
    <row r="7" spans="1:23" hidden="1" x14ac:dyDescent="0.2">
      <c r="H7">
        <v>201</v>
      </c>
      <c r="L7">
        <v>28</v>
      </c>
      <c r="Q7">
        <v>20</v>
      </c>
      <c r="R7" t="s">
        <v>316</v>
      </c>
      <c r="S7" t="s">
        <v>326</v>
      </c>
      <c r="T7">
        <f>I7*-0.5+J7*-0.5+M7*0.5</f>
        <v>0</v>
      </c>
      <c r="U7">
        <f>I7*0.33+M7*0.33+G7*0.33</f>
        <v>0</v>
      </c>
      <c r="V7">
        <f>J7*-0.33+M7*-0.33+I7*-0.33</f>
        <v>0</v>
      </c>
    </row>
    <row r="8" spans="1:23" hidden="1" x14ac:dyDescent="0.2">
      <c r="H8">
        <v>218</v>
      </c>
      <c r="L8">
        <v>46</v>
      </c>
      <c r="Q8">
        <v>6</v>
      </c>
      <c r="R8" t="s">
        <v>316</v>
      </c>
      <c r="S8" t="s">
        <v>327</v>
      </c>
      <c r="T8">
        <f>I8*-0.5+J8*-0.5+M8*0.5</f>
        <v>0</v>
      </c>
      <c r="U8">
        <f>I8*0.33+M8*0.33+G8*0.33</f>
        <v>0</v>
      </c>
      <c r="V8">
        <f>J8*-0.33+M8*-0.33+I8*-0.33</f>
        <v>0</v>
      </c>
    </row>
    <row r="9" spans="1:23" hidden="1" x14ac:dyDescent="0.2">
      <c r="H9">
        <v>227</v>
      </c>
      <c r="L9">
        <v>47</v>
      </c>
      <c r="Q9">
        <v>15</v>
      </c>
      <c r="R9" t="s">
        <v>316</v>
      </c>
      <c r="S9">
        <v>22</v>
      </c>
      <c r="T9">
        <f>I9*-0.5+J9*-0.5+M9*0.5</f>
        <v>0</v>
      </c>
      <c r="U9">
        <f>I9*0.33+M9*0.33+G9*0.33</f>
        <v>0</v>
      </c>
      <c r="V9">
        <f>J9*-0.33+M9*-0.33+I9*-0.33</f>
        <v>0</v>
      </c>
    </row>
    <row r="10" spans="1:23" hidden="1" x14ac:dyDescent="0.2">
      <c r="H10">
        <v>272</v>
      </c>
      <c r="L10">
        <v>11</v>
      </c>
      <c r="Q10">
        <v>12</v>
      </c>
      <c r="R10" t="s">
        <v>328</v>
      </c>
      <c r="S10" t="s">
        <v>329</v>
      </c>
      <c r="T10">
        <f>I10*-0.5+J10*-0.5+M10*0.5</f>
        <v>0</v>
      </c>
      <c r="U10">
        <f>I10*0.33+M10*0.33+G10*0.33</f>
        <v>0</v>
      </c>
      <c r="V10">
        <f>J10*-0.33+M10*-0.33+I10*-0.33</f>
        <v>0</v>
      </c>
    </row>
    <row r="11" spans="1:23" hidden="1" x14ac:dyDescent="0.2">
      <c r="H11">
        <v>231</v>
      </c>
      <c r="L11">
        <v>54</v>
      </c>
      <c r="Q11">
        <v>1</v>
      </c>
      <c r="R11" t="s">
        <v>316</v>
      </c>
      <c r="S11" t="s">
        <v>330</v>
      </c>
      <c r="T11">
        <f>I11*-0.5+J11*-0.5+M11*0.5</f>
        <v>0</v>
      </c>
      <c r="U11">
        <f>I11*0.33+M11*0.33+G11*0.33</f>
        <v>0</v>
      </c>
      <c r="V11">
        <f>J11*-0.33+M11*-0.33+I11*-0.33</f>
        <v>0</v>
      </c>
    </row>
    <row r="12" spans="1:23" hidden="1" x14ac:dyDescent="0.2">
      <c r="H12">
        <v>243</v>
      </c>
      <c r="L12">
        <v>48</v>
      </c>
      <c r="Q12">
        <v>12</v>
      </c>
      <c r="R12" t="s">
        <v>331</v>
      </c>
      <c r="S12" t="s">
        <v>332</v>
      </c>
      <c r="T12">
        <f>I12*-0.5+J12*-0.5+M12*0.5</f>
        <v>0</v>
      </c>
      <c r="U12">
        <f>I12*0.33+M12*0.33+G12*0.33</f>
        <v>0</v>
      </c>
      <c r="V12">
        <f>J12*-0.33+M12*-0.33+I12*-0.33</f>
        <v>0</v>
      </c>
    </row>
    <row r="13" spans="1:23" hidden="1" x14ac:dyDescent="0.2">
      <c r="H13">
        <v>196</v>
      </c>
      <c r="L13">
        <v>48</v>
      </c>
      <c r="Q13">
        <v>18</v>
      </c>
      <c r="R13" t="s">
        <v>333</v>
      </c>
      <c r="S13" t="s">
        <v>334</v>
      </c>
      <c r="T13">
        <f>I13*-0.5+J13*-0.5+M13*0.5</f>
        <v>0</v>
      </c>
      <c r="U13">
        <f>I13*0.33+M13*0.33+G13*0.33</f>
        <v>0</v>
      </c>
      <c r="V13">
        <f>J13*-0.33+M13*-0.33+I13*-0.33</f>
        <v>0</v>
      </c>
    </row>
    <row r="14" spans="1:23" hidden="1" x14ac:dyDescent="0.2">
      <c r="H14">
        <v>220</v>
      </c>
      <c r="L14">
        <v>42</v>
      </c>
      <c r="Q14">
        <v>11</v>
      </c>
      <c r="R14" t="s">
        <v>335</v>
      </c>
      <c r="S14" t="s">
        <v>336</v>
      </c>
      <c r="T14">
        <f>I14*-0.5+J14*-0.5+M14*0.5</f>
        <v>0</v>
      </c>
      <c r="U14">
        <f>I14*0.33+M14*0.33+G14*0.33</f>
        <v>0</v>
      </c>
      <c r="V14">
        <f>J14*-0.33+M14*-0.33+I14*-0.33</f>
        <v>0</v>
      </c>
    </row>
    <row r="15" spans="1:23" hidden="1" x14ac:dyDescent="0.2">
      <c r="H15">
        <v>247</v>
      </c>
      <c r="L15">
        <v>42</v>
      </c>
      <c r="Q15">
        <v>16</v>
      </c>
      <c r="R15" t="s">
        <v>316</v>
      </c>
      <c r="S15" t="s">
        <v>337</v>
      </c>
      <c r="T15">
        <f>I15*-0.5+J15*-0.5+M15*0.5</f>
        <v>0</v>
      </c>
      <c r="U15">
        <f>I15*0.33+M15*0.33+G15*0.33</f>
        <v>0</v>
      </c>
      <c r="V15">
        <f>J15*-0.33+M15*-0.33+I15*-0.33</f>
        <v>0</v>
      </c>
    </row>
    <row r="16" spans="1:23" hidden="1" x14ac:dyDescent="0.2">
      <c r="H16">
        <v>186</v>
      </c>
      <c r="L16">
        <v>44</v>
      </c>
      <c r="Q16">
        <v>20</v>
      </c>
      <c r="R16" t="s">
        <v>338</v>
      </c>
      <c r="S16" t="s">
        <v>339</v>
      </c>
      <c r="T16">
        <f>I16*-0.5+J16*-0.5+M16*0.5</f>
        <v>0</v>
      </c>
      <c r="U16">
        <f>I16*0.33+M16*0.33+G16*0.33</f>
        <v>0</v>
      </c>
      <c r="V16">
        <f>J16*-0.33+M16*-0.33+I16*-0.33</f>
        <v>0</v>
      </c>
    </row>
    <row r="17" spans="8:22" hidden="1" x14ac:dyDescent="0.2">
      <c r="H17">
        <v>178</v>
      </c>
      <c r="L17">
        <v>27</v>
      </c>
      <c r="Q17">
        <v>19</v>
      </c>
      <c r="R17" t="s">
        <v>316</v>
      </c>
      <c r="S17" t="s">
        <v>340</v>
      </c>
      <c r="T17">
        <f>I17*-0.5+J17*-0.5+M17*0.5</f>
        <v>0</v>
      </c>
      <c r="U17">
        <f>I17*0.33+M17*0.33+G17*0.33</f>
        <v>0</v>
      </c>
      <c r="V17">
        <f>J17*-0.33+M17*-0.33+I17*-0.33</f>
        <v>0</v>
      </c>
    </row>
    <row r="18" spans="8:22" hidden="1" x14ac:dyDescent="0.2">
      <c r="H18">
        <v>191</v>
      </c>
      <c r="L18">
        <v>45</v>
      </c>
      <c r="Q18">
        <v>11</v>
      </c>
      <c r="R18" t="s">
        <v>316</v>
      </c>
      <c r="S18" t="s">
        <v>341</v>
      </c>
      <c r="T18">
        <f>I18*-0.5+J18*-0.5+M18*0.5</f>
        <v>0</v>
      </c>
      <c r="U18">
        <f>I18*0.33+M18*0.33+G18*0.33</f>
        <v>0</v>
      </c>
      <c r="V18">
        <f>J18*-0.33+M18*-0.33+I18*-0.33</f>
        <v>0</v>
      </c>
    </row>
    <row r="19" spans="8:22" hidden="1" x14ac:dyDescent="0.2">
      <c r="H19">
        <v>203</v>
      </c>
      <c r="L19">
        <v>12</v>
      </c>
      <c r="Q19">
        <v>1</v>
      </c>
      <c r="R19" t="s">
        <v>342</v>
      </c>
      <c r="S19" t="s">
        <v>343</v>
      </c>
      <c r="T19">
        <f>I19*-0.5+J19*-0.5+M19*0.5</f>
        <v>0</v>
      </c>
      <c r="U19">
        <f>I19*0.33+M19*0.33+G19*0.33</f>
        <v>0</v>
      </c>
      <c r="V19">
        <f>J19*-0.33+M19*-0.33+I19*-0.33</f>
        <v>0</v>
      </c>
    </row>
    <row r="20" spans="8:22" hidden="1" x14ac:dyDescent="0.2">
      <c r="H20">
        <v>203</v>
      </c>
      <c r="L20">
        <v>10</v>
      </c>
      <c r="Q20">
        <v>12</v>
      </c>
      <c r="R20" t="s">
        <v>344</v>
      </c>
      <c r="S20" t="s">
        <v>345</v>
      </c>
      <c r="T20">
        <f>I20*-0.5+J20*-0.5+M20*0.5</f>
        <v>0</v>
      </c>
      <c r="U20">
        <f>I20*0.33+M20*0.33+G20*0.33</f>
        <v>0</v>
      </c>
      <c r="V20">
        <f>J20*-0.33+M20*-0.33+I20*-0.33</f>
        <v>0</v>
      </c>
    </row>
    <row r="21" spans="8:22" hidden="1" x14ac:dyDescent="0.2">
      <c r="H21">
        <v>229</v>
      </c>
      <c r="L21">
        <v>55</v>
      </c>
      <c r="Q21">
        <v>14</v>
      </c>
      <c r="R21" t="s">
        <v>316</v>
      </c>
      <c r="S21" t="s">
        <v>346</v>
      </c>
      <c r="T21">
        <f>I21*-0.5+J21*-0.5+M21*0.5</f>
        <v>0</v>
      </c>
      <c r="U21">
        <f>I21*0.33+M21*0.33+G21*0.33</f>
        <v>0</v>
      </c>
      <c r="V21">
        <f>J21*-0.33+M21*-0.33+I21*-0.33</f>
        <v>0</v>
      </c>
    </row>
    <row r="22" spans="8:22" hidden="1" x14ac:dyDescent="0.2">
      <c r="H22">
        <v>223</v>
      </c>
      <c r="L22">
        <v>40</v>
      </c>
      <c r="Q22">
        <v>18</v>
      </c>
      <c r="R22" t="s">
        <v>347</v>
      </c>
      <c r="S22" t="s">
        <v>348</v>
      </c>
      <c r="T22">
        <f>I22*-0.5+J22*-0.5+M22*0.5</f>
        <v>0</v>
      </c>
      <c r="U22">
        <f>I22*0.33+M22*0.33+G22*0.33</f>
        <v>0</v>
      </c>
      <c r="V22">
        <f>J22*-0.33+M22*-0.33+I22*-0.33</f>
        <v>0</v>
      </c>
    </row>
    <row r="23" spans="8:22" hidden="1" x14ac:dyDescent="0.2">
      <c r="H23">
        <v>227</v>
      </c>
      <c r="L23">
        <v>32</v>
      </c>
      <c r="Q23">
        <v>19</v>
      </c>
      <c r="R23" t="s">
        <v>316</v>
      </c>
      <c r="S23" t="s">
        <v>349</v>
      </c>
      <c r="T23">
        <f>I23*-0.5+J23*-0.5+M23*0.5</f>
        <v>0</v>
      </c>
      <c r="U23">
        <f>I23*0.33+M23*0.33+G23*0.33</f>
        <v>0</v>
      </c>
      <c r="V23">
        <f>J23*-0.33+M23*-0.33+I23*-0.33</f>
        <v>0</v>
      </c>
    </row>
    <row r="24" spans="8:22" hidden="1" x14ac:dyDescent="0.2">
      <c r="H24">
        <v>226</v>
      </c>
      <c r="L24">
        <v>16</v>
      </c>
      <c r="Q24">
        <v>10</v>
      </c>
      <c r="R24" t="s">
        <v>324</v>
      </c>
      <c r="S24" t="s">
        <v>350</v>
      </c>
      <c r="T24">
        <f>I24*-0.5+J24*-0.5+M24*0.5</f>
        <v>0</v>
      </c>
      <c r="U24">
        <f>I24*0.33+M24*0.33+G24*0.33</f>
        <v>0</v>
      </c>
      <c r="V24">
        <f>J24*-0.33+M24*-0.33+I24*-0.33</f>
        <v>0</v>
      </c>
    </row>
    <row r="25" spans="8:22" hidden="1" x14ac:dyDescent="0.2">
      <c r="H25">
        <v>233</v>
      </c>
      <c r="L25">
        <v>58</v>
      </c>
      <c r="Q25">
        <v>8</v>
      </c>
      <c r="R25" t="s">
        <v>316</v>
      </c>
      <c r="S25" t="s">
        <v>351</v>
      </c>
      <c r="T25">
        <f>I25*-0.5+J25*-0.5+M25*0.5</f>
        <v>0</v>
      </c>
      <c r="U25">
        <f>I25*0.33+M25*0.33+G25*0.33</f>
        <v>0</v>
      </c>
      <c r="V25">
        <f>J25*-0.33+M25*-0.33+I25*-0.33</f>
        <v>0</v>
      </c>
    </row>
    <row r="26" spans="8:22" hidden="1" x14ac:dyDescent="0.2">
      <c r="H26">
        <v>192</v>
      </c>
      <c r="L26">
        <v>58</v>
      </c>
      <c r="Q26">
        <v>17</v>
      </c>
      <c r="R26" t="s">
        <v>352</v>
      </c>
      <c r="S26" t="s">
        <v>353</v>
      </c>
      <c r="T26">
        <f>I26*-0.5+J26*-0.5+M26*0.5</f>
        <v>0</v>
      </c>
      <c r="U26">
        <f>I26*0.33+M26*0.33+G26*0.33</f>
        <v>0</v>
      </c>
      <c r="V26">
        <f>J26*-0.33+M26*-0.33+I26*-0.33</f>
        <v>0</v>
      </c>
    </row>
    <row r="27" spans="8:22" hidden="1" x14ac:dyDescent="0.2">
      <c r="H27">
        <v>196</v>
      </c>
      <c r="L27">
        <v>56</v>
      </c>
      <c r="Q27">
        <v>5</v>
      </c>
      <c r="R27" t="s">
        <v>354</v>
      </c>
      <c r="S27" t="s">
        <v>355</v>
      </c>
      <c r="T27">
        <f>I27*-0.5+J27*-0.5+M27*0.5</f>
        <v>0</v>
      </c>
      <c r="U27">
        <f>I27*0.33+M27*0.33+G27*0.33</f>
        <v>0</v>
      </c>
      <c r="V27">
        <f>J27*-0.33+M27*-0.33+I27*-0.33</f>
        <v>0</v>
      </c>
    </row>
    <row r="28" spans="8:22" hidden="1" x14ac:dyDescent="0.2">
      <c r="H28">
        <v>239</v>
      </c>
      <c r="L28">
        <v>37</v>
      </c>
      <c r="Q28">
        <v>16</v>
      </c>
      <c r="R28" t="s">
        <v>316</v>
      </c>
      <c r="S28" t="s">
        <v>356</v>
      </c>
      <c r="T28">
        <f>I28*-0.5+J28*-0.5+M28*0.5</f>
        <v>0</v>
      </c>
      <c r="U28">
        <f>I28*0.33+M28*0.33+G28*0.33</f>
        <v>0</v>
      </c>
      <c r="V28">
        <f>J28*-0.33+M28*-0.33+I28*-0.33</f>
        <v>0</v>
      </c>
    </row>
    <row r="29" spans="8:22" hidden="1" x14ac:dyDescent="0.2">
      <c r="H29">
        <v>198</v>
      </c>
      <c r="L29">
        <v>37</v>
      </c>
      <c r="Q29">
        <v>20</v>
      </c>
      <c r="R29" t="s">
        <v>357</v>
      </c>
      <c r="S29" t="s">
        <v>358</v>
      </c>
      <c r="T29">
        <f>I29*-0.5+J29*-0.5+M29*0.5</f>
        <v>0</v>
      </c>
      <c r="U29">
        <f>I29*0.33+M29*0.33+G29*0.33</f>
        <v>0</v>
      </c>
      <c r="V29">
        <f>J29*-0.33+M29*-0.33+I29*-0.33</f>
        <v>0</v>
      </c>
    </row>
    <row r="30" spans="8:22" hidden="1" x14ac:dyDescent="0.2">
      <c r="H30">
        <v>227</v>
      </c>
      <c r="L30">
        <v>35</v>
      </c>
      <c r="Q30">
        <v>20</v>
      </c>
      <c r="R30" t="s">
        <v>359</v>
      </c>
      <c r="S30" t="s">
        <v>360</v>
      </c>
      <c r="T30">
        <f>I30*-0.5+J30*-0.5+M30*0.5</f>
        <v>0</v>
      </c>
      <c r="U30">
        <f>I30*0.33+M30*0.33+G30*0.33</f>
        <v>0</v>
      </c>
      <c r="V30">
        <f>J30*-0.33+M30*-0.33+I30*-0.33</f>
        <v>0</v>
      </c>
    </row>
    <row r="31" spans="8:22" hidden="1" x14ac:dyDescent="0.2">
      <c r="H31">
        <v>233</v>
      </c>
      <c r="L31">
        <v>30</v>
      </c>
      <c r="Q31">
        <v>19</v>
      </c>
      <c r="R31" t="s">
        <v>316</v>
      </c>
      <c r="S31" t="s">
        <v>361</v>
      </c>
      <c r="T31">
        <f>I31*-0.5+J31*-0.5+M31*0.5</f>
        <v>0</v>
      </c>
      <c r="U31">
        <f>I31*0.33+M31*0.33+G31*0.33</f>
        <v>0</v>
      </c>
      <c r="V31">
        <f>J31*-0.33+M31*-0.33+I31*-0.33</f>
        <v>0</v>
      </c>
    </row>
    <row r="32" spans="8:22" hidden="1" x14ac:dyDescent="0.2">
      <c r="H32">
        <v>216</v>
      </c>
      <c r="L32">
        <v>57</v>
      </c>
      <c r="Q32">
        <v>9</v>
      </c>
      <c r="R32" t="s">
        <v>316</v>
      </c>
      <c r="S32" t="s">
        <v>362</v>
      </c>
      <c r="T32">
        <f>I32*-0.5+J32*-0.5+M32*0.5</f>
        <v>0</v>
      </c>
      <c r="U32">
        <f>I32*0.33+M32*0.33+G32*0.33</f>
        <v>0</v>
      </c>
      <c r="V32">
        <f>J32*-0.33+M32*-0.33+I32*-0.33</f>
        <v>0</v>
      </c>
    </row>
    <row r="33" spans="1:23" hidden="1" x14ac:dyDescent="0.2">
      <c r="H33">
        <v>216</v>
      </c>
      <c r="L33">
        <v>22</v>
      </c>
      <c r="Q33">
        <v>17</v>
      </c>
      <c r="R33" t="s">
        <v>363</v>
      </c>
      <c r="S33" t="s">
        <v>364</v>
      </c>
      <c r="T33">
        <f>I33*-0.5+J33*-0.5+M33*0.5</f>
        <v>0</v>
      </c>
      <c r="U33">
        <f>I33*0.33+M33*0.33+G33*0.33</f>
        <v>0</v>
      </c>
      <c r="V33">
        <f>J33*-0.33+M33*-0.33+I33*-0.33</f>
        <v>0</v>
      </c>
    </row>
    <row r="34" spans="1:23" x14ac:dyDescent="0.2">
      <c r="A34">
        <v>0.25600000000000001</v>
      </c>
      <c r="B34">
        <v>7</v>
      </c>
      <c r="C34">
        <v>4</v>
      </c>
      <c r="D34">
        <v>0.33900000000000002</v>
      </c>
      <c r="E34">
        <v>-6.7249999999999996</v>
      </c>
      <c r="F34">
        <v>413880</v>
      </c>
      <c r="G34">
        <v>0.66500000000000004</v>
      </c>
      <c r="H34">
        <v>209</v>
      </c>
      <c r="I34">
        <v>6.8699999999999997E-2</v>
      </c>
      <c r="J34">
        <v>1.17E-2</v>
      </c>
      <c r="K34" t="s">
        <v>19</v>
      </c>
      <c r="L34">
        <v>3</v>
      </c>
      <c r="M34">
        <v>0.99099999999999999</v>
      </c>
      <c r="N34">
        <v>152.596</v>
      </c>
      <c r="O34">
        <v>3.9199999999999999E-3</v>
      </c>
      <c r="P34">
        <v>1</v>
      </c>
      <c r="Q34">
        <v>8</v>
      </c>
      <c r="R34" t="s">
        <v>20</v>
      </c>
      <c r="S34" t="s">
        <v>21</v>
      </c>
      <c r="T34">
        <f>I34*-0.5+M34*0.5</f>
        <v>0.46115</v>
      </c>
      <c r="U34">
        <f>I34*0.7+M34*-0.25+D34*-0.25</f>
        <v>-0.28441</v>
      </c>
      <c r="V34">
        <f>J34*0.5+I34*-0.5</f>
        <v>-2.8499999999999998E-2</v>
      </c>
      <c r="W34">
        <f>M34*0.5+G34*0.25+I34*0.25</f>
        <v>0.67892500000000011</v>
      </c>
    </row>
    <row r="35" spans="1:23" x14ac:dyDescent="0.2">
      <c r="A35">
        <v>7.6899999999999996E-2</v>
      </c>
      <c r="B35">
        <v>1</v>
      </c>
      <c r="C35">
        <v>4</v>
      </c>
      <c r="D35">
        <v>0.113</v>
      </c>
      <c r="E35">
        <v>-5.3540000000000001</v>
      </c>
      <c r="F35">
        <v>245600</v>
      </c>
      <c r="G35">
        <v>0.42399999999999999</v>
      </c>
      <c r="H35">
        <v>243</v>
      </c>
      <c r="I35">
        <v>0.16</v>
      </c>
      <c r="J35">
        <v>8.8400000000000002E-4</v>
      </c>
      <c r="K35" t="s">
        <v>22</v>
      </c>
      <c r="L35">
        <v>15</v>
      </c>
      <c r="M35">
        <v>0.93700000000000006</v>
      </c>
      <c r="N35">
        <v>137.86099999999999</v>
      </c>
      <c r="O35">
        <v>0</v>
      </c>
      <c r="P35">
        <v>1</v>
      </c>
      <c r="Q35">
        <v>18</v>
      </c>
      <c r="R35" t="s">
        <v>23</v>
      </c>
      <c r="S35" t="s">
        <v>24</v>
      </c>
      <c r="T35">
        <f>I35*-0.5+M35*0.5</f>
        <v>0.38850000000000001</v>
      </c>
      <c r="U35">
        <f>I35*0.7+M35*-0.25+D35*-0.25</f>
        <v>-0.15050000000000002</v>
      </c>
      <c r="V35">
        <f>J35*0.5+I35*-0.5</f>
        <v>-7.9558000000000004E-2</v>
      </c>
      <c r="W35">
        <f>M35*0.5+G35*0.25+I35*0.25</f>
        <v>0.61450000000000005</v>
      </c>
    </row>
    <row r="36" spans="1:23" x14ac:dyDescent="0.2">
      <c r="A36">
        <v>0.111</v>
      </c>
      <c r="B36">
        <v>1</v>
      </c>
      <c r="C36">
        <v>4</v>
      </c>
      <c r="D36">
        <v>0.114</v>
      </c>
      <c r="E36">
        <v>-5.33</v>
      </c>
      <c r="F36">
        <v>274733</v>
      </c>
      <c r="G36">
        <v>0.38300000000000001</v>
      </c>
      <c r="H36">
        <v>235</v>
      </c>
      <c r="I36">
        <v>0.2</v>
      </c>
      <c r="J36">
        <v>1.7100000000000001E-4</v>
      </c>
      <c r="K36" t="s">
        <v>25</v>
      </c>
      <c r="L36">
        <v>9</v>
      </c>
      <c r="M36">
        <v>0.96199999999999997</v>
      </c>
      <c r="N36">
        <v>152.32599999999999</v>
      </c>
      <c r="O36">
        <v>1.2200000000000001E-2</v>
      </c>
      <c r="P36">
        <v>1</v>
      </c>
      <c r="Q36">
        <v>20</v>
      </c>
      <c r="R36" t="s">
        <v>26</v>
      </c>
      <c r="S36" t="s">
        <v>27</v>
      </c>
      <c r="T36">
        <f>I36*-0.5+M36*0.5</f>
        <v>0.38100000000000001</v>
      </c>
      <c r="U36">
        <f>I36*0.7+M36*-0.25+D36*-0.25</f>
        <v>-0.129</v>
      </c>
      <c r="V36">
        <f>J36*0.5+I36*-0.5</f>
        <v>-9.9914500000000003E-2</v>
      </c>
      <c r="W36">
        <f>M36*0.5+G36*0.25+I36*0.25</f>
        <v>0.62675000000000003</v>
      </c>
    </row>
    <row r="37" spans="1:23" x14ac:dyDescent="0.2">
      <c r="A37">
        <v>8.4199999999999997E-2</v>
      </c>
      <c r="B37">
        <v>11</v>
      </c>
      <c r="C37">
        <v>4</v>
      </c>
      <c r="D37">
        <v>0.223</v>
      </c>
      <c r="E37">
        <v>-5.9279999999999999</v>
      </c>
      <c r="F37">
        <v>194973</v>
      </c>
      <c r="G37">
        <v>0.45700000000000002</v>
      </c>
      <c r="H37">
        <v>192</v>
      </c>
      <c r="I37">
        <v>0.14199999999999999</v>
      </c>
      <c r="J37">
        <v>1.18E-2</v>
      </c>
      <c r="K37" t="s">
        <v>34</v>
      </c>
      <c r="L37">
        <v>47</v>
      </c>
      <c r="M37">
        <v>0.86899999999999999</v>
      </c>
      <c r="N37">
        <v>77.123000000000005</v>
      </c>
      <c r="O37">
        <v>0</v>
      </c>
      <c r="P37">
        <v>1</v>
      </c>
      <c r="Q37">
        <v>17</v>
      </c>
      <c r="R37" t="s">
        <v>35</v>
      </c>
      <c r="S37" t="s">
        <v>36</v>
      </c>
      <c r="T37">
        <f>I37*-0.5+M37*0.5</f>
        <v>0.36349999999999999</v>
      </c>
      <c r="U37">
        <f>I37*0.7+M37*-0.25+D37*-0.25</f>
        <v>-0.1736</v>
      </c>
      <c r="V37">
        <f>J37*0.5+I37*-0.5</f>
        <v>-6.5099999999999991E-2</v>
      </c>
      <c r="W37">
        <f>M37*0.5+G37*0.25+I37*0.25</f>
        <v>0.58424999999999994</v>
      </c>
    </row>
    <row r="38" spans="1:23" x14ac:dyDescent="0.2">
      <c r="A38">
        <v>9.1700000000000004E-2</v>
      </c>
      <c r="B38">
        <v>1</v>
      </c>
      <c r="C38">
        <v>4</v>
      </c>
      <c r="D38">
        <v>9.2600000000000002E-2</v>
      </c>
      <c r="E38">
        <v>-3.66</v>
      </c>
      <c r="F38">
        <v>222587</v>
      </c>
      <c r="G38">
        <v>0.33</v>
      </c>
      <c r="H38">
        <v>221</v>
      </c>
      <c r="I38">
        <v>0.218</v>
      </c>
      <c r="J38">
        <v>1.08E-3</v>
      </c>
      <c r="K38" t="s">
        <v>28</v>
      </c>
      <c r="L38">
        <v>19</v>
      </c>
      <c r="M38">
        <v>0.93600000000000005</v>
      </c>
      <c r="N38">
        <v>148.11199999999999</v>
      </c>
      <c r="O38">
        <v>0</v>
      </c>
      <c r="P38">
        <v>1</v>
      </c>
      <c r="Q38">
        <v>18</v>
      </c>
      <c r="R38" t="s">
        <v>29</v>
      </c>
      <c r="S38" t="s">
        <v>30</v>
      </c>
      <c r="T38">
        <f>I38*-0.5+M38*0.5</f>
        <v>0.35900000000000004</v>
      </c>
      <c r="U38">
        <f>I38*0.7+M38*-0.25+D38*-0.25</f>
        <v>-0.10455000000000003</v>
      </c>
      <c r="V38">
        <f>J38*0.5+I38*-0.5</f>
        <v>-0.10846</v>
      </c>
      <c r="W38">
        <f>M38*0.5+G38*0.25+I38*0.25</f>
        <v>0.60499999999999998</v>
      </c>
    </row>
    <row r="39" spans="1:23" x14ac:dyDescent="0.2">
      <c r="A39">
        <v>0.156</v>
      </c>
      <c r="B39">
        <v>1</v>
      </c>
      <c r="C39">
        <v>4</v>
      </c>
      <c r="D39">
        <v>5.7000000000000002E-2</v>
      </c>
      <c r="E39">
        <v>-4.0999999999999996</v>
      </c>
      <c r="F39">
        <v>213733</v>
      </c>
      <c r="G39">
        <v>0.81799999999999995</v>
      </c>
      <c r="H39">
        <v>212</v>
      </c>
      <c r="I39">
        <v>9.5299999999999996E-2</v>
      </c>
      <c r="J39">
        <v>1.07E-3</v>
      </c>
      <c r="K39" t="s">
        <v>48</v>
      </c>
      <c r="L39">
        <v>50</v>
      </c>
      <c r="M39">
        <v>0.79900000000000004</v>
      </c>
      <c r="N39">
        <v>100.014</v>
      </c>
      <c r="O39">
        <v>0.128</v>
      </c>
      <c r="P39">
        <v>0</v>
      </c>
      <c r="Q39">
        <v>9</v>
      </c>
      <c r="R39" t="s">
        <v>49</v>
      </c>
      <c r="S39" t="s">
        <v>50</v>
      </c>
      <c r="T39">
        <f>I39*-0.5+M39*0.5</f>
        <v>0.35185</v>
      </c>
      <c r="U39">
        <f>I39*0.7+M39*-0.25+D39*-0.25</f>
        <v>-0.14729000000000003</v>
      </c>
      <c r="V39">
        <f>J39*0.5+I39*-0.5</f>
        <v>-4.7114999999999997E-2</v>
      </c>
      <c r="W39">
        <f>M39*0.5+G39*0.25+I39*0.25</f>
        <v>0.62782499999999997</v>
      </c>
    </row>
    <row r="40" spans="1:23" x14ac:dyDescent="0.2">
      <c r="A40">
        <v>5.1299999999999998E-2</v>
      </c>
      <c r="B40">
        <v>1</v>
      </c>
      <c r="C40">
        <v>4</v>
      </c>
      <c r="D40">
        <v>0.125</v>
      </c>
      <c r="E40">
        <v>-5.734</v>
      </c>
      <c r="F40">
        <v>214912</v>
      </c>
      <c r="G40">
        <v>0.56399999999999995</v>
      </c>
      <c r="H40">
        <v>213</v>
      </c>
      <c r="I40">
        <v>0.108</v>
      </c>
      <c r="J40">
        <v>1.5299999999999999E-2</v>
      </c>
      <c r="K40" t="s">
        <v>51</v>
      </c>
      <c r="L40">
        <v>48</v>
      </c>
      <c r="M40">
        <v>0.81100000000000005</v>
      </c>
      <c r="N40">
        <v>126.00700000000001</v>
      </c>
      <c r="O40" s="1">
        <v>8.7199999999999995E-6</v>
      </c>
      <c r="P40">
        <v>0</v>
      </c>
      <c r="Q40">
        <v>4</v>
      </c>
      <c r="R40" t="s">
        <v>52</v>
      </c>
      <c r="S40" t="s">
        <v>53</v>
      </c>
      <c r="T40">
        <f>I40*-0.5+M40*0.5</f>
        <v>0.35150000000000003</v>
      </c>
      <c r="U40">
        <f>I40*0.7+M40*-0.25+D40*-0.25</f>
        <v>-0.15840000000000001</v>
      </c>
      <c r="V40">
        <f>J40*0.5+I40*-0.5</f>
        <v>-4.6350000000000002E-2</v>
      </c>
      <c r="W40">
        <f>M40*0.5+G40*0.25+I40*0.25</f>
        <v>0.57350000000000001</v>
      </c>
    </row>
    <row r="41" spans="1:23" x14ac:dyDescent="0.2">
      <c r="A41">
        <v>4.3499999999999997E-2</v>
      </c>
      <c r="B41">
        <v>9</v>
      </c>
      <c r="C41">
        <v>4</v>
      </c>
      <c r="D41">
        <v>0.41199999999999998</v>
      </c>
      <c r="E41">
        <v>-2.0379999999999998</v>
      </c>
      <c r="F41">
        <v>209539</v>
      </c>
      <c r="G41">
        <v>0.67</v>
      </c>
      <c r="H41">
        <v>208</v>
      </c>
      <c r="I41">
        <v>0.23899999999999999</v>
      </c>
      <c r="J41">
        <v>5.5300000000000002E-2</v>
      </c>
      <c r="K41" t="s">
        <v>45</v>
      </c>
      <c r="L41">
        <v>44</v>
      </c>
      <c r="M41">
        <v>0.93500000000000005</v>
      </c>
      <c r="N41">
        <v>127.952</v>
      </c>
      <c r="O41">
        <v>0</v>
      </c>
      <c r="P41">
        <v>1</v>
      </c>
      <c r="Q41">
        <v>7</v>
      </c>
      <c r="R41" t="s">
        <v>46</v>
      </c>
      <c r="S41" t="s">
        <v>47</v>
      </c>
      <c r="T41">
        <f>I41*-0.5+M41*0.5</f>
        <v>0.34800000000000003</v>
      </c>
      <c r="U41">
        <f>I41*0.7+M41*-0.25+D41*-0.25</f>
        <v>-0.16945000000000005</v>
      </c>
      <c r="V41">
        <f>J41*0.5+I41*-0.5</f>
        <v>-9.1849999999999987E-2</v>
      </c>
      <c r="W41">
        <f>M41*0.5+G41*0.25+I41*0.25</f>
        <v>0.69474999999999998</v>
      </c>
    </row>
    <row r="42" spans="1:23" x14ac:dyDescent="0.2">
      <c r="A42">
        <v>6.0100000000000001E-2</v>
      </c>
      <c r="B42">
        <v>0</v>
      </c>
      <c r="C42">
        <v>4</v>
      </c>
      <c r="D42">
        <v>0.13300000000000001</v>
      </c>
      <c r="E42">
        <v>-5.2220000000000004</v>
      </c>
      <c r="F42">
        <v>252653</v>
      </c>
      <c r="G42">
        <v>0.53600000000000003</v>
      </c>
      <c r="H42">
        <v>250</v>
      </c>
      <c r="I42">
        <v>0.19500000000000001</v>
      </c>
      <c r="J42">
        <v>3.5399999999999999E-4</v>
      </c>
      <c r="K42" t="s">
        <v>37</v>
      </c>
      <c r="L42">
        <v>30</v>
      </c>
      <c r="M42">
        <v>0.89</v>
      </c>
      <c r="N42">
        <v>115.998</v>
      </c>
      <c r="O42">
        <v>1.65E-3</v>
      </c>
      <c r="P42">
        <v>1</v>
      </c>
      <c r="Q42">
        <v>16</v>
      </c>
      <c r="R42" t="s">
        <v>38</v>
      </c>
      <c r="S42" t="s">
        <v>39</v>
      </c>
      <c r="T42">
        <f>I42*-0.5+M42*0.5</f>
        <v>0.34750000000000003</v>
      </c>
      <c r="U42">
        <f>I42*0.7+M42*-0.25+D42*-0.25</f>
        <v>-0.11925000000000002</v>
      </c>
      <c r="V42">
        <f>J42*0.5+I42*-0.5</f>
        <v>-9.7323000000000007E-2</v>
      </c>
      <c r="W42">
        <f>M42*0.5+G42*0.25+I42*0.25</f>
        <v>0.62774999999999992</v>
      </c>
    </row>
    <row r="43" spans="1:23" x14ac:dyDescent="0.2">
      <c r="A43">
        <v>4.2999999999999997E-2</v>
      </c>
      <c r="B43">
        <v>8</v>
      </c>
      <c r="C43">
        <v>4</v>
      </c>
      <c r="D43">
        <v>0.35899999999999999</v>
      </c>
      <c r="E43">
        <v>-4.4329999999999998</v>
      </c>
      <c r="F43">
        <v>224680</v>
      </c>
      <c r="G43">
        <v>0.68799999999999994</v>
      </c>
      <c r="H43">
        <v>196</v>
      </c>
      <c r="I43">
        <v>0.188</v>
      </c>
      <c r="J43">
        <v>3.1899999999999998E-2</v>
      </c>
      <c r="K43" t="s">
        <v>54</v>
      </c>
      <c r="L43">
        <v>52</v>
      </c>
      <c r="M43">
        <v>0.874</v>
      </c>
      <c r="N43">
        <v>149.93700000000001</v>
      </c>
      <c r="O43">
        <v>1.6900000000000001E-3</v>
      </c>
      <c r="P43">
        <v>1</v>
      </c>
      <c r="Q43">
        <v>1</v>
      </c>
      <c r="R43" t="s">
        <v>55</v>
      </c>
      <c r="S43" t="s">
        <v>56</v>
      </c>
      <c r="T43">
        <f>I43*-0.5+M43*0.5</f>
        <v>0.34299999999999997</v>
      </c>
      <c r="U43">
        <f>I43*0.7+M43*-0.25+D43*-0.25</f>
        <v>-0.17665</v>
      </c>
      <c r="V43">
        <f>J43*0.5+I43*-0.5</f>
        <v>-7.8050000000000008E-2</v>
      </c>
      <c r="W43">
        <f>M43*0.5+G43*0.25+I43*0.25</f>
        <v>0.65600000000000003</v>
      </c>
    </row>
    <row r="44" spans="1:23" x14ac:dyDescent="0.2">
      <c r="A44">
        <v>6.9099999999999995E-2</v>
      </c>
      <c r="B44">
        <v>6</v>
      </c>
      <c r="C44">
        <v>4</v>
      </c>
      <c r="D44">
        <v>9.7500000000000003E-2</v>
      </c>
      <c r="E44">
        <v>-2.879</v>
      </c>
      <c r="F44">
        <v>258000</v>
      </c>
      <c r="G44">
        <v>0.251</v>
      </c>
      <c r="H44">
        <v>241</v>
      </c>
      <c r="I44">
        <v>0.26900000000000002</v>
      </c>
      <c r="J44">
        <v>6.7400000000000001E-4</v>
      </c>
      <c r="K44" t="s">
        <v>31</v>
      </c>
      <c r="L44">
        <v>14</v>
      </c>
      <c r="M44">
        <v>0.95399999999999996</v>
      </c>
      <c r="N44">
        <v>191.059</v>
      </c>
      <c r="O44">
        <v>1.3200000000000001E-4</v>
      </c>
      <c r="P44">
        <v>1</v>
      </c>
      <c r="Q44">
        <v>18</v>
      </c>
      <c r="R44" t="s">
        <v>32</v>
      </c>
      <c r="S44" t="s">
        <v>33</v>
      </c>
      <c r="T44">
        <f>I44*-0.5+M44*0.5</f>
        <v>0.34249999999999997</v>
      </c>
      <c r="U44">
        <f>I44*0.7+M44*-0.25+D44*-0.25</f>
        <v>-7.4575000000000002E-2</v>
      </c>
      <c r="V44">
        <f>J44*0.5+I44*-0.5</f>
        <v>-0.134163</v>
      </c>
      <c r="W44">
        <f>M44*0.5+G44*0.25+I44*0.25</f>
        <v>0.60699999999999998</v>
      </c>
    </row>
    <row r="45" spans="1:23" x14ac:dyDescent="0.2">
      <c r="A45">
        <v>3.6200000000000003E-2</v>
      </c>
      <c r="B45">
        <v>6</v>
      </c>
      <c r="C45">
        <v>4</v>
      </c>
      <c r="D45">
        <v>0.26100000000000001</v>
      </c>
      <c r="E45">
        <v>-4.3920000000000003</v>
      </c>
      <c r="F45">
        <v>215106</v>
      </c>
      <c r="G45">
        <v>0.52200000000000002</v>
      </c>
      <c r="H45">
        <v>215</v>
      </c>
      <c r="I45">
        <v>0.19600000000000001</v>
      </c>
      <c r="J45">
        <v>2.7300000000000002E-4</v>
      </c>
      <c r="K45" t="s">
        <v>40</v>
      </c>
      <c r="L45">
        <v>24</v>
      </c>
      <c r="M45">
        <v>0.874</v>
      </c>
      <c r="N45">
        <v>132.018</v>
      </c>
      <c r="O45">
        <v>5.79E-3</v>
      </c>
      <c r="P45">
        <v>0</v>
      </c>
      <c r="Q45">
        <v>18</v>
      </c>
      <c r="R45" t="s">
        <v>38</v>
      </c>
      <c r="S45" t="s">
        <v>41</v>
      </c>
      <c r="T45">
        <f>I45*-0.5+M45*0.5</f>
        <v>0.33899999999999997</v>
      </c>
      <c r="U45">
        <f>I45*0.7+M45*-0.25+D45*-0.25</f>
        <v>-0.14655000000000001</v>
      </c>
      <c r="V45">
        <f>J45*0.5+I45*-0.5</f>
        <v>-9.7863500000000006E-2</v>
      </c>
      <c r="W45">
        <f>M45*0.5+G45*0.25+I45*0.25</f>
        <v>0.61650000000000005</v>
      </c>
    </row>
    <row r="46" spans="1:23" x14ac:dyDescent="0.2">
      <c r="A46">
        <v>3.1E-2</v>
      </c>
      <c r="B46">
        <v>1</v>
      </c>
      <c r="C46">
        <v>4</v>
      </c>
      <c r="D46">
        <v>0.123</v>
      </c>
      <c r="E46">
        <v>-6.1289999999999996</v>
      </c>
      <c r="F46">
        <v>237800</v>
      </c>
      <c r="G46">
        <v>0.55400000000000005</v>
      </c>
      <c r="H46">
        <v>235</v>
      </c>
      <c r="I46">
        <v>9.4500000000000001E-2</v>
      </c>
      <c r="J46">
        <v>4.1300000000000003E-2</v>
      </c>
      <c r="K46" t="s">
        <v>88</v>
      </c>
      <c r="L46">
        <v>36</v>
      </c>
      <c r="M46">
        <v>0.76400000000000001</v>
      </c>
      <c r="N46">
        <v>90</v>
      </c>
      <c r="O46">
        <v>0</v>
      </c>
      <c r="P46">
        <v>1</v>
      </c>
      <c r="Q46">
        <v>6</v>
      </c>
      <c r="R46" t="s">
        <v>89</v>
      </c>
      <c r="S46" t="s">
        <v>90</v>
      </c>
      <c r="T46">
        <f>I46*-0.5+M46*0.5</f>
        <v>0.33474999999999999</v>
      </c>
      <c r="U46">
        <f>I46*0.7+M46*-0.25+D46*-0.25</f>
        <v>-0.15560000000000002</v>
      </c>
      <c r="V46">
        <f>J46*0.5+I46*-0.5</f>
        <v>-2.6599999999999999E-2</v>
      </c>
      <c r="W46">
        <f>M46*0.5+G46*0.25+I46*0.25</f>
        <v>0.54412499999999997</v>
      </c>
    </row>
    <row r="47" spans="1:23" x14ac:dyDescent="0.2">
      <c r="A47">
        <v>3.4000000000000002E-2</v>
      </c>
      <c r="B47">
        <v>4</v>
      </c>
      <c r="C47">
        <v>4</v>
      </c>
      <c r="D47">
        <v>8.0299999999999996E-2</v>
      </c>
      <c r="E47">
        <v>-5.4889999999999999</v>
      </c>
      <c r="F47">
        <v>238427</v>
      </c>
      <c r="G47">
        <v>0.73599999999999999</v>
      </c>
      <c r="H47">
        <v>235</v>
      </c>
      <c r="I47">
        <v>0.104</v>
      </c>
      <c r="J47">
        <v>0.105</v>
      </c>
      <c r="K47" t="s">
        <v>166</v>
      </c>
      <c r="L47">
        <v>55</v>
      </c>
      <c r="M47">
        <v>0.76700000000000002</v>
      </c>
      <c r="N47">
        <v>119.996</v>
      </c>
      <c r="O47">
        <v>0</v>
      </c>
      <c r="P47">
        <v>0</v>
      </c>
      <c r="Q47">
        <v>2</v>
      </c>
      <c r="R47" t="s">
        <v>167</v>
      </c>
      <c r="S47" t="s">
        <v>168</v>
      </c>
      <c r="T47">
        <f>I47*-0.5+M47*0.5</f>
        <v>0.33150000000000002</v>
      </c>
      <c r="U47">
        <f>I47*0.7+M47*-0.25+D47*-0.25</f>
        <v>-0.13902500000000001</v>
      </c>
      <c r="V47">
        <f>J47*0.5+I47*-0.5</f>
        <v>5.0000000000000044E-4</v>
      </c>
      <c r="W47">
        <f>M47*0.5+G47*0.25+I47*0.25</f>
        <v>0.59350000000000003</v>
      </c>
    </row>
    <row r="48" spans="1:23" x14ac:dyDescent="0.2">
      <c r="A48">
        <v>9.06E-2</v>
      </c>
      <c r="B48">
        <v>8</v>
      </c>
      <c r="C48">
        <v>4</v>
      </c>
      <c r="D48">
        <v>8.6499999999999994E-2</v>
      </c>
      <c r="E48">
        <v>-4.2300000000000004</v>
      </c>
      <c r="F48">
        <v>228280</v>
      </c>
      <c r="G48">
        <v>0.44700000000000001</v>
      </c>
      <c r="H48">
        <v>225</v>
      </c>
      <c r="I48">
        <v>0.29399999999999998</v>
      </c>
      <c r="J48">
        <v>1.93E-4</v>
      </c>
      <c r="K48" t="s">
        <v>42</v>
      </c>
      <c r="L48">
        <v>45</v>
      </c>
      <c r="M48">
        <v>0.93500000000000005</v>
      </c>
      <c r="N48">
        <v>140.03</v>
      </c>
      <c r="O48">
        <v>7.28E-3</v>
      </c>
      <c r="P48">
        <v>1</v>
      </c>
      <c r="Q48">
        <v>18</v>
      </c>
      <c r="R48" t="s">
        <v>43</v>
      </c>
      <c r="S48" t="s">
        <v>44</v>
      </c>
      <c r="T48">
        <f>I48*-0.5+M48*0.5</f>
        <v>0.32050000000000001</v>
      </c>
      <c r="U48">
        <f>I48*0.7+M48*-0.25+D48*-0.25</f>
        <v>-4.9575000000000029E-2</v>
      </c>
      <c r="V48">
        <f>J48*0.5+I48*-0.5</f>
        <v>-0.14690349999999999</v>
      </c>
      <c r="W48">
        <f>M48*0.5+G48*0.25+I48*0.25</f>
        <v>0.65275000000000005</v>
      </c>
    </row>
    <row r="49" spans="1:23" x14ac:dyDescent="0.2">
      <c r="A49">
        <v>3.1E-2</v>
      </c>
      <c r="B49">
        <v>3</v>
      </c>
      <c r="C49">
        <v>4</v>
      </c>
      <c r="D49">
        <v>9.9299999999999999E-2</v>
      </c>
      <c r="E49">
        <v>-3.81</v>
      </c>
      <c r="F49">
        <v>269693</v>
      </c>
      <c r="G49">
        <v>0.48099999999999998</v>
      </c>
      <c r="H49">
        <v>248</v>
      </c>
      <c r="I49">
        <v>0.14000000000000001</v>
      </c>
      <c r="J49">
        <v>8.5299999999999994E-3</v>
      </c>
      <c r="K49" t="s">
        <v>83</v>
      </c>
      <c r="L49">
        <v>32</v>
      </c>
      <c r="M49">
        <v>0.77900000000000003</v>
      </c>
      <c r="N49">
        <v>96.028999999999996</v>
      </c>
      <c r="O49">
        <v>0</v>
      </c>
      <c r="P49">
        <v>1</v>
      </c>
      <c r="Q49">
        <v>15</v>
      </c>
      <c r="R49" t="s">
        <v>76</v>
      </c>
      <c r="S49" t="s">
        <v>84</v>
      </c>
      <c r="T49">
        <f>I49*-0.5+M49*0.5</f>
        <v>0.31950000000000001</v>
      </c>
      <c r="U49">
        <f>I49*0.7+M49*-0.25+D49*-0.25</f>
        <v>-0.121575</v>
      </c>
      <c r="V49">
        <f>J49*0.5+I49*-0.5</f>
        <v>-6.5735000000000002E-2</v>
      </c>
      <c r="W49">
        <f>M49*0.5+G49*0.25+I49*0.25</f>
        <v>0.54475000000000007</v>
      </c>
    </row>
    <row r="50" spans="1:23" x14ac:dyDescent="0.2">
      <c r="A50">
        <v>0.107</v>
      </c>
      <c r="B50">
        <v>0</v>
      </c>
      <c r="C50">
        <v>4</v>
      </c>
      <c r="D50">
        <v>0.27800000000000002</v>
      </c>
      <c r="E50">
        <v>-3.3730000000000002</v>
      </c>
      <c r="F50">
        <v>274067</v>
      </c>
      <c r="G50">
        <v>0.54500000000000004</v>
      </c>
      <c r="H50">
        <v>259</v>
      </c>
      <c r="I50">
        <v>0.253</v>
      </c>
      <c r="J50">
        <v>7.5800000000000006E-2</v>
      </c>
      <c r="K50" t="s">
        <v>99</v>
      </c>
      <c r="L50">
        <v>42</v>
      </c>
      <c r="M50">
        <v>0.88400000000000001</v>
      </c>
      <c r="N50">
        <v>153.13800000000001</v>
      </c>
      <c r="O50" s="1">
        <v>1.2300000000000001E-6</v>
      </c>
      <c r="P50">
        <v>0</v>
      </c>
      <c r="Q50">
        <v>20</v>
      </c>
      <c r="R50" t="s">
        <v>100</v>
      </c>
      <c r="S50" t="s">
        <v>101</v>
      </c>
      <c r="T50">
        <f>I50*-0.5+M50*0.5</f>
        <v>0.3155</v>
      </c>
      <c r="U50">
        <f>I50*0.7+M50*-0.25+D50*-0.25</f>
        <v>-0.11340000000000003</v>
      </c>
      <c r="V50">
        <f>J50*0.5+I50*-0.5</f>
        <v>-8.8599999999999998E-2</v>
      </c>
      <c r="W50">
        <f>M50*0.5+G50*0.25+I50*0.25</f>
        <v>0.64150000000000007</v>
      </c>
    </row>
    <row r="51" spans="1:23" x14ac:dyDescent="0.2">
      <c r="A51">
        <v>3.9899999999999998E-2</v>
      </c>
      <c r="B51">
        <v>9</v>
      </c>
      <c r="C51">
        <v>4</v>
      </c>
      <c r="D51">
        <v>0.14000000000000001</v>
      </c>
      <c r="E51">
        <v>-5.0049999999999999</v>
      </c>
      <c r="F51">
        <v>240453</v>
      </c>
      <c r="G51">
        <v>0.55100000000000005</v>
      </c>
      <c r="H51">
        <v>190</v>
      </c>
      <c r="I51">
        <v>0.23599999999999999</v>
      </c>
      <c r="J51">
        <v>5.8500000000000002E-3</v>
      </c>
      <c r="K51" t="s">
        <v>63</v>
      </c>
      <c r="L51">
        <v>19</v>
      </c>
      <c r="M51">
        <v>0.86499999999999999</v>
      </c>
      <c r="N51">
        <v>112.486</v>
      </c>
      <c r="O51">
        <v>0</v>
      </c>
      <c r="P51">
        <v>1</v>
      </c>
      <c r="Q51">
        <v>17</v>
      </c>
      <c r="R51" t="s">
        <v>64</v>
      </c>
      <c r="S51" t="s">
        <v>65</v>
      </c>
      <c r="T51">
        <f>I51*-0.5+M51*0.5</f>
        <v>0.3145</v>
      </c>
      <c r="U51">
        <f>I51*0.7+M51*-0.25+D51*-0.25</f>
        <v>-8.6050000000000015E-2</v>
      </c>
      <c r="V51">
        <f>J51*0.5+I51*-0.5</f>
        <v>-0.115075</v>
      </c>
      <c r="W51">
        <f>M51*0.5+G51*0.25+I51*0.25</f>
        <v>0.62925000000000009</v>
      </c>
    </row>
    <row r="52" spans="1:23" x14ac:dyDescent="0.2">
      <c r="A52">
        <v>3.3099999999999997E-2</v>
      </c>
      <c r="B52">
        <v>1</v>
      </c>
      <c r="C52">
        <v>4</v>
      </c>
      <c r="D52">
        <v>6.9699999999999998E-2</v>
      </c>
      <c r="E52">
        <v>-6.6950000000000003</v>
      </c>
      <c r="F52">
        <v>182373</v>
      </c>
      <c r="G52">
        <v>0.66800000000000004</v>
      </c>
      <c r="H52">
        <v>184</v>
      </c>
      <c r="I52">
        <v>0.122</v>
      </c>
      <c r="J52">
        <v>2.3400000000000001E-2</v>
      </c>
      <c r="K52" t="s">
        <v>130</v>
      </c>
      <c r="L52">
        <v>37</v>
      </c>
      <c r="M52">
        <v>0.749</v>
      </c>
      <c r="N52">
        <v>127.113</v>
      </c>
      <c r="O52">
        <v>2.9799999999999998E-4</v>
      </c>
      <c r="P52">
        <v>0</v>
      </c>
      <c r="Q52">
        <v>10</v>
      </c>
      <c r="R52" t="s">
        <v>131</v>
      </c>
      <c r="S52" t="s">
        <v>132</v>
      </c>
      <c r="T52">
        <f>I52*-0.5+M52*0.5</f>
        <v>0.3135</v>
      </c>
      <c r="U52">
        <f>I52*0.7+M52*-0.25+D52*-0.25</f>
        <v>-0.11927500000000001</v>
      </c>
      <c r="V52">
        <f>J52*0.5+I52*-0.5</f>
        <v>-4.9299999999999997E-2</v>
      </c>
      <c r="W52">
        <f>M52*0.5+G52*0.25+I52*0.25</f>
        <v>0.57199999999999995</v>
      </c>
    </row>
    <row r="53" spans="1:23" x14ac:dyDescent="0.2">
      <c r="A53">
        <v>3.6700000000000003E-2</v>
      </c>
      <c r="B53">
        <v>9</v>
      </c>
      <c r="C53">
        <v>4</v>
      </c>
      <c r="D53">
        <v>0.107</v>
      </c>
      <c r="E53">
        <v>-6.484</v>
      </c>
      <c r="F53">
        <v>254347</v>
      </c>
      <c r="G53">
        <v>0.32700000000000001</v>
      </c>
      <c r="H53">
        <v>250</v>
      </c>
      <c r="I53">
        <v>0.17199999999999999</v>
      </c>
      <c r="J53" s="1">
        <v>9.7E-5</v>
      </c>
      <c r="K53" t="s">
        <v>85</v>
      </c>
      <c r="L53">
        <v>15</v>
      </c>
      <c r="M53">
        <v>0.79300000000000004</v>
      </c>
      <c r="N53">
        <v>164.262</v>
      </c>
      <c r="O53">
        <v>0.23899999999999999</v>
      </c>
      <c r="P53">
        <v>0</v>
      </c>
      <c r="Q53">
        <v>19</v>
      </c>
      <c r="R53" t="s">
        <v>86</v>
      </c>
      <c r="S53" t="s">
        <v>87</v>
      </c>
      <c r="T53">
        <f>I53*-0.5+M53*0.5</f>
        <v>0.3105</v>
      </c>
      <c r="U53">
        <f>I53*0.7+M53*-0.25+D53*-0.25</f>
        <v>-0.10460000000000003</v>
      </c>
      <c r="V53">
        <f>J53*0.5+I53*-0.5</f>
        <v>-8.5951499999999986E-2</v>
      </c>
      <c r="W53">
        <f>M53*0.5+G53*0.25+I53*0.25</f>
        <v>0.52124999999999999</v>
      </c>
    </row>
    <row r="54" spans="1:23" x14ac:dyDescent="0.2">
      <c r="A54">
        <v>9.0700000000000003E-2</v>
      </c>
      <c r="B54">
        <v>11</v>
      </c>
      <c r="C54">
        <v>4</v>
      </c>
      <c r="D54">
        <v>0.71199999999999997</v>
      </c>
      <c r="E54">
        <v>-5.9669999999999996</v>
      </c>
      <c r="F54">
        <v>289560</v>
      </c>
      <c r="G54">
        <v>0.54800000000000004</v>
      </c>
      <c r="H54">
        <v>268</v>
      </c>
      <c r="I54">
        <v>0.307</v>
      </c>
      <c r="J54">
        <v>2.3700000000000001E-3</v>
      </c>
      <c r="K54" t="s">
        <v>57</v>
      </c>
      <c r="L54">
        <v>3</v>
      </c>
      <c r="M54">
        <v>0.92600000000000005</v>
      </c>
      <c r="N54">
        <v>97.55</v>
      </c>
      <c r="O54">
        <v>0.16300000000000001</v>
      </c>
      <c r="P54">
        <v>1</v>
      </c>
      <c r="Q54">
        <v>9</v>
      </c>
      <c r="R54" t="s">
        <v>58</v>
      </c>
      <c r="S54" t="s">
        <v>59</v>
      </c>
      <c r="T54">
        <f>I54*-0.5+M54*0.5</f>
        <v>0.3095</v>
      </c>
      <c r="U54">
        <f>I54*0.7+M54*-0.25+D54*-0.25</f>
        <v>-0.19460000000000002</v>
      </c>
      <c r="V54">
        <f>J54*0.5+I54*-0.5</f>
        <v>-0.15231500000000001</v>
      </c>
      <c r="W54">
        <f>M54*0.5+G54*0.25+I54*0.25</f>
        <v>0.67675000000000007</v>
      </c>
    </row>
    <row r="55" spans="1:23" x14ac:dyDescent="0.2">
      <c r="A55">
        <v>7.1499999999999994E-2</v>
      </c>
      <c r="B55">
        <v>4</v>
      </c>
      <c r="C55">
        <v>4</v>
      </c>
      <c r="D55">
        <v>0.64900000000000002</v>
      </c>
      <c r="E55">
        <v>-5.1829999999999998</v>
      </c>
      <c r="F55">
        <v>224399</v>
      </c>
      <c r="G55">
        <v>0.51800000000000002</v>
      </c>
      <c r="H55">
        <v>223</v>
      </c>
      <c r="I55">
        <v>0.16</v>
      </c>
      <c r="J55">
        <v>2.99E-4</v>
      </c>
      <c r="K55" t="s">
        <v>107</v>
      </c>
      <c r="L55">
        <v>55</v>
      </c>
      <c r="M55">
        <v>0.77</v>
      </c>
      <c r="N55">
        <v>98.838999999999999</v>
      </c>
      <c r="O55">
        <v>0</v>
      </c>
      <c r="P55">
        <v>0</v>
      </c>
      <c r="Q55">
        <v>12</v>
      </c>
      <c r="R55" t="s">
        <v>108</v>
      </c>
      <c r="S55" t="s">
        <v>109</v>
      </c>
      <c r="T55">
        <f>I55*-0.5+M55*0.5</f>
        <v>0.30499999999999999</v>
      </c>
      <c r="U55">
        <f>I55*0.7+M55*-0.25+D55*-0.25</f>
        <v>-0.24275000000000002</v>
      </c>
      <c r="V55">
        <f>J55*0.5+I55*-0.5</f>
        <v>-7.9850500000000005E-2</v>
      </c>
      <c r="W55">
        <f>M55*0.5+G55*0.25+I55*0.25</f>
        <v>0.55449999999999999</v>
      </c>
    </row>
    <row r="56" spans="1:23" x14ac:dyDescent="0.2">
      <c r="A56">
        <v>3.5299999999999998E-2</v>
      </c>
      <c r="B56">
        <v>4</v>
      </c>
      <c r="C56">
        <v>4</v>
      </c>
      <c r="D56">
        <v>9.64E-2</v>
      </c>
      <c r="E56">
        <v>-4.2510000000000003</v>
      </c>
      <c r="F56">
        <v>223853</v>
      </c>
      <c r="G56">
        <v>0.48799999999999999</v>
      </c>
      <c r="H56">
        <v>219</v>
      </c>
      <c r="I56">
        <v>0.253</v>
      </c>
      <c r="J56">
        <v>7.0599999999999996E-2</v>
      </c>
      <c r="K56" t="s">
        <v>145</v>
      </c>
      <c r="L56">
        <v>28</v>
      </c>
      <c r="M56">
        <v>0.86199999999999999</v>
      </c>
      <c r="N56">
        <v>92.448999999999998</v>
      </c>
      <c r="O56">
        <v>0</v>
      </c>
      <c r="P56">
        <v>1</v>
      </c>
      <c r="Q56">
        <v>11</v>
      </c>
      <c r="R56" t="s">
        <v>146</v>
      </c>
      <c r="S56" t="s">
        <v>147</v>
      </c>
      <c r="T56">
        <f>I56*-0.5+M56*0.5</f>
        <v>0.30449999999999999</v>
      </c>
      <c r="U56">
        <f>I56*0.7+M56*-0.25+D56*-0.25</f>
        <v>-6.2500000000000014E-2</v>
      </c>
      <c r="V56">
        <f>J56*0.5+I56*-0.5</f>
        <v>-9.1200000000000003E-2</v>
      </c>
      <c r="W56">
        <f>M56*0.5+G56*0.25+I56*0.25</f>
        <v>0.61624999999999996</v>
      </c>
    </row>
    <row r="57" spans="1:23" x14ac:dyDescent="0.2">
      <c r="A57">
        <v>4.2500000000000003E-2</v>
      </c>
      <c r="B57">
        <v>2</v>
      </c>
      <c r="C57">
        <v>4</v>
      </c>
      <c r="D57">
        <v>0.17599999999999999</v>
      </c>
      <c r="E57">
        <v>-3.8439999999999999</v>
      </c>
      <c r="F57">
        <v>232027</v>
      </c>
      <c r="G57">
        <v>0.54100000000000004</v>
      </c>
      <c r="H57">
        <v>231</v>
      </c>
      <c r="I57">
        <v>0.27800000000000002</v>
      </c>
      <c r="J57">
        <v>1.37E-2</v>
      </c>
      <c r="K57" t="s">
        <v>69</v>
      </c>
      <c r="L57">
        <v>46</v>
      </c>
      <c r="M57">
        <v>0.88700000000000001</v>
      </c>
      <c r="N57">
        <v>128.03399999999999</v>
      </c>
      <c r="O57" s="1">
        <v>2.0999999999999998E-6</v>
      </c>
      <c r="P57">
        <v>1</v>
      </c>
      <c r="Q57">
        <v>13</v>
      </c>
      <c r="R57" t="s">
        <v>70</v>
      </c>
      <c r="S57" t="s">
        <v>71</v>
      </c>
      <c r="T57">
        <f>I57*-0.5+M57*0.5</f>
        <v>0.30449999999999999</v>
      </c>
      <c r="U57">
        <f>I57*0.7+M57*-0.25+D57*-0.25</f>
        <v>-7.1150000000000005E-2</v>
      </c>
      <c r="V57">
        <f>J57*0.5+I57*-0.5</f>
        <v>-0.13215000000000002</v>
      </c>
      <c r="W57">
        <f>M57*0.5+G57*0.25+I57*0.25</f>
        <v>0.64824999999999999</v>
      </c>
    </row>
    <row r="58" spans="1:23" x14ac:dyDescent="0.2">
      <c r="A58">
        <v>6.3799999999999996E-2</v>
      </c>
      <c r="B58">
        <v>9</v>
      </c>
      <c r="C58">
        <v>4</v>
      </c>
      <c r="D58">
        <v>0.76</v>
      </c>
      <c r="E58">
        <v>-3.6139999999999999</v>
      </c>
      <c r="F58">
        <v>186813</v>
      </c>
      <c r="G58">
        <v>0.47799999999999998</v>
      </c>
      <c r="H58">
        <v>186</v>
      </c>
      <c r="I58">
        <v>0.20100000000000001</v>
      </c>
      <c r="J58">
        <v>0.126</v>
      </c>
      <c r="K58" t="s">
        <v>277</v>
      </c>
      <c r="L58">
        <v>47</v>
      </c>
      <c r="M58">
        <v>0.79900000000000004</v>
      </c>
      <c r="N58">
        <v>136.268</v>
      </c>
      <c r="O58">
        <v>1.06E-4</v>
      </c>
      <c r="P58">
        <v>1</v>
      </c>
      <c r="Q58">
        <v>5</v>
      </c>
      <c r="R58" t="s">
        <v>278</v>
      </c>
      <c r="S58" t="s">
        <v>279</v>
      </c>
      <c r="T58">
        <f>I58*-0.5+M58*0.5</f>
        <v>0.29900000000000004</v>
      </c>
      <c r="U58">
        <f>I58*0.7+M58*-0.25+D58*-0.25</f>
        <v>-0.24905000000000002</v>
      </c>
      <c r="V58">
        <f>J58*0.5+I58*-0.5</f>
        <v>-3.7500000000000006E-2</v>
      </c>
      <c r="W58">
        <f>M58*0.5+G58*0.25+I58*0.25</f>
        <v>0.56925000000000003</v>
      </c>
    </row>
    <row r="59" spans="1:23" x14ac:dyDescent="0.2">
      <c r="A59">
        <v>2.9499999999999998E-2</v>
      </c>
      <c r="B59">
        <v>7</v>
      </c>
      <c r="C59">
        <v>4</v>
      </c>
      <c r="D59">
        <v>0.155</v>
      </c>
      <c r="E59">
        <v>-5.4829999999999997</v>
      </c>
      <c r="F59">
        <v>273533</v>
      </c>
      <c r="G59">
        <v>0.48599999999999999</v>
      </c>
      <c r="H59">
        <v>274</v>
      </c>
      <c r="I59">
        <v>0.27</v>
      </c>
      <c r="J59">
        <v>2.3699999999999999E-2</v>
      </c>
      <c r="K59" t="s">
        <v>91</v>
      </c>
      <c r="L59">
        <v>2</v>
      </c>
      <c r="M59">
        <v>0.86699999999999999</v>
      </c>
      <c r="N59">
        <v>92.757000000000005</v>
      </c>
      <c r="O59" s="1">
        <v>1.66E-6</v>
      </c>
      <c r="P59">
        <v>1</v>
      </c>
      <c r="Q59">
        <v>4</v>
      </c>
      <c r="R59" t="s">
        <v>92</v>
      </c>
      <c r="S59" t="s">
        <v>93</v>
      </c>
      <c r="T59">
        <f>I59*-0.5+M59*0.5</f>
        <v>0.29849999999999999</v>
      </c>
      <c r="U59">
        <f>I59*0.7+M59*-0.25+D59*-0.25</f>
        <v>-6.6500000000000004E-2</v>
      </c>
      <c r="V59">
        <f>J59*0.5+I59*-0.5</f>
        <v>-0.12315000000000001</v>
      </c>
      <c r="W59">
        <f>M59*0.5+G59*0.25+I59*0.25</f>
        <v>0.62249999999999994</v>
      </c>
    </row>
    <row r="60" spans="1:23" x14ac:dyDescent="0.2">
      <c r="A60">
        <v>7.17E-2</v>
      </c>
      <c r="B60">
        <v>4</v>
      </c>
      <c r="C60">
        <v>3</v>
      </c>
      <c r="D60">
        <v>0.20399999999999999</v>
      </c>
      <c r="E60">
        <v>-4.55</v>
      </c>
      <c r="F60">
        <v>223173</v>
      </c>
      <c r="G60">
        <v>0.48099999999999998</v>
      </c>
      <c r="H60">
        <v>222</v>
      </c>
      <c r="I60">
        <v>0.28299999999999997</v>
      </c>
      <c r="J60">
        <v>4.6499999999999996E-3</v>
      </c>
      <c r="K60" t="s">
        <v>72</v>
      </c>
      <c r="L60">
        <v>18</v>
      </c>
      <c r="M60">
        <v>0.88</v>
      </c>
      <c r="N60">
        <v>95.022999999999996</v>
      </c>
      <c r="O60" s="1">
        <v>6.02E-5</v>
      </c>
      <c r="P60">
        <v>1</v>
      </c>
      <c r="Q60">
        <v>14</v>
      </c>
      <c r="R60" t="s">
        <v>73</v>
      </c>
      <c r="S60" t="s">
        <v>74</v>
      </c>
      <c r="T60">
        <f>I60*-0.5+M60*0.5</f>
        <v>0.29849999999999999</v>
      </c>
      <c r="U60">
        <f>I60*0.7+M60*-0.25+D60*-0.25</f>
        <v>-7.290000000000002E-2</v>
      </c>
      <c r="V60">
        <f>J60*0.5+I60*-0.5</f>
        <v>-0.13917499999999999</v>
      </c>
      <c r="W60">
        <f>M60*0.5+G60*0.25+I60*0.25</f>
        <v>0.63100000000000001</v>
      </c>
    </row>
    <row r="61" spans="1:23" x14ac:dyDescent="0.2">
      <c r="A61">
        <v>6.1499999999999999E-2</v>
      </c>
      <c r="B61">
        <v>10</v>
      </c>
      <c r="C61">
        <v>4</v>
      </c>
      <c r="D61">
        <v>0.245</v>
      </c>
      <c r="E61">
        <v>-3.2320000000000002</v>
      </c>
      <c r="F61">
        <v>214831</v>
      </c>
      <c r="G61">
        <v>0.42299999999999999</v>
      </c>
      <c r="H61">
        <v>206</v>
      </c>
      <c r="I61">
        <v>0.32</v>
      </c>
      <c r="J61">
        <v>5.2499999999999998E-2</v>
      </c>
      <c r="K61" t="s">
        <v>102</v>
      </c>
      <c r="L61">
        <v>24</v>
      </c>
      <c r="M61">
        <v>0.91200000000000003</v>
      </c>
      <c r="N61">
        <v>145.94200000000001</v>
      </c>
      <c r="O61">
        <v>0</v>
      </c>
      <c r="P61">
        <v>0</v>
      </c>
      <c r="Q61">
        <v>19</v>
      </c>
      <c r="R61" t="s">
        <v>76</v>
      </c>
      <c r="S61" t="s">
        <v>103</v>
      </c>
      <c r="T61">
        <f>I61*-0.5+M61*0.5</f>
        <v>0.29600000000000004</v>
      </c>
      <c r="U61">
        <f>I61*0.7+M61*-0.25+D61*-0.25</f>
        <v>-6.525000000000003E-2</v>
      </c>
      <c r="V61">
        <f>J61*0.5+I61*-0.5</f>
        <v>-0.13375000000000001</v>
      </c>
      <c r="W61">
        <f>M61*0.5+G61*0.25+I61*0.25</f>
        <v>0.64174999999999993</v>
      </c>
    </row>
    <row r="62" spans="1:23" x14ac:dyDescent="0.2">
      <c r="A62">
        <v>0.26100000000000001</v>
      </c>
      <c r="B62">
        <v>8</v>
      </c>
      <c r="C62">
        <v>4</v>
      </c>
      <c r="D62">
        <v>0.28399999999999997</v>
      </c>
      <c r="E62">
        <v>-3.9129999999999998</v>
      </c>
      <c r="F62">
        <v>210853</v>
      </c>
      <c r="G62">
        <v>0.54200000000000004</v>
      </c>
      <c r="H62">
        <v>208</v>
      </c>
      <c r="I62">
        <v>0.32500000000000001</v>
      </c>
      <c r="J62">
        <v>1.6900000000000001E-3</v>
      </c>
      <c r="K62" t="s">
        <v>66</v>
      </c>
      <c r="L62">
        <v>36</v>
      </c>
      <c r="M62">
        <v>0.91600000000000004</v>
      </c>
      <c r="N62">
        <v>130.04400000000001</v>
      </c>
      <c r="O62" s="1">
        <v>9.4199999999999996E-6</v>
      </c>
      <c r="P62">
        <v>1</v>
      </c>
      <c r="Q62">
        <v>9</v>
      </c>
      <c r="R62" t="s">
        <v>67</v>
      </c>
      <c r="S62" t="s">
        <v>68</v>
      </c>
      <c r="T62">
        <f>I62*-0.5+M62*0.5</f>
        <v>0.29549999999999998</v>
      </c>
      <c r="U62">
        <f>I62*0.7+M62*-0.25+D62*-0.25</f>
        <v>-7.2500000000000023E-2</v>
      </c>
      <c r="V62">
        <f>J62*0.5+I62*-0.5</f>
        <v>-0.16165499999999999</v>
      </c>
      <c r="W62">
        <f>M62*0.5+G62*0.25+I62*0.25</f>
        <v>0.67475000000000007</v>
      </c>
    </row>
    <row r="63" spans="1:23" x14ac:dyDescent="0.2">
      <c r="A63">
        <v>5.67E-2</v>
      </c>
      <c r="B63">
        <v>4</v>
      </c>
      <c r="C63">
        <v>4</v>
      </c>
      <c r="D63">
        <v>7.8899999999999998E-2</v>
      </c>
      <c r="E63">
        <v>-4.0380000000000003</v>
      </c>
      <c r="F63">
        <v>250286</v>
      </c>
      <c r="G63">
        <v>0.432</v>
      </c>
      <c r="H63">
        <v>243</v>
      </c>
      <c r="I63">
        <v>0.191</v>
      </c>
      <c r="J63">
        <v>4.1000000000000002E-2</v>
      </c>
      <c r="K63" t="s">
        <v>169</v>
      </c>
      <c r="L63">
        <v>55</v>
      </c>
      <c r="M63">
        <v>0.78100000000000003</v>
      </c>
      <c r="N63">
        <v>139.43199999999999</v>
      </c>
      <c r="O63" s="1">
        <v>4.2100000000000003E-6</v>
      </c>
      <c r="P63">
        <v>0</v>
      </c>
      <c r="Q63">
        <v>8</v>
      </c>
      <c r="R63" t="s">
        <v>170</v>
      </c>
      <c r="S63" t="s">
        <v>171</v>
      </c>
      <c r="T63">
        <f>I63*-0.5+M63*0.5</f>
        <v>0.29500000000000004</v>
      </c>
      <c r="U63">
        <f>I63*0.7+M63*-0.25+D63*-0.25</f>
        <v>-8.1275000000000014E-2</v>
      </c>
      <c r="V63">
        <f>J63*0.5+I63*-0.5</f>
        <v>-7.4999999999999997E-2</v>
      </c>
      <c r="W63">
        <f>M63*0.5+G63*0.25+I63*0.25</f>
        <v>0.54625000000000001</v>
      </c>
    </row>
    <row r="64" spans="1:23" x14ac:dyDescent="0.2">
      <c r="A64">
        <v>0.10199999999999999</v>
      </c>
      <c r="B64">
        <v>0</v>
      </c>
      <c r="C64">
        <v>4</v>
      </c>
      <c r="D64">
        <v>0.68600000000000005</v>
      </c>
      <c r="E64">
        <v>-4.5309999999999997</v>
      </c>
      <c r="F64">
        <v>232240</v>
      </c>
      <c r="G64">
        <v>0.42199999999999999</v>
      </c>
      <c r="H64">
        <v>223</v>
      </c>
      <c r="I64">
        <v>0.316</v>
      </c>
      <c r="J64">
        <v>0.02</v>
      </c>
      <c r="K64" t="s">
        <v>81</v>
      </c>
      <c r="L64">
        <v>27</v>
      </c>
      <c r="M64">
        <v>0.90400000000000003</v>
      </c>
      <c r="N64">
        <v>163.929</v>
      </c>
      <c r="O64" s="1">
        <v>4.4900000000000002E-6</v>
      </c>
      <c r="P64">
        <v>1</v>
      </c>
      <c r="Q64">
        <v>15</v>
      </c>
      <c r="R64" t="s">
        <v>79</v>
      </c>
      <c r="S64" t="s">
        <v>82</v>
      </c>
      <c r="T64">
        <f>I64*-0.5+M64*0.5</f>
        <v>0.29400000000000004</v>
      </c>
      <c r="U64">
        <f>I64*0.7+M64*-0.25+D64*-0.25</f>
        <v>-0.17630000000000004</v>
      </c>
      <c r="V64">
        <f>J64*0.5+I64*-0.5</f>
        <v>-0.14799999999999999</v>
      </c>
      <c r="W64">
        <f>M64*0.5+G64*0.25+I64*0.25</f>
        <v>0.63649999999999995</v>
      </c>
    </row>
    <row r="65" spans="1:23" x14ac:dyDescent="0.2">
      <c r="A65">
        <v>4.0300000000000002E-2</v>
      </c>
      <c r="B65">
        <v>7</v>
      </c>
      <c r="C65">
        <v>4</v>
      </c>
      <c r="D65">
        <v>8.09E-2</v>
      </c>
      <c r="E65">
        <v>-4.9539999999999997</v>
      </c>
      <c r="F65">
        <v>306133</v>
      </c>
      <c r="G65">
        <v>0.40200000000000002</v>
      </c>
      <c r="H65">
        <v>237</v>
      </c>
      <c r="I65">
        <v>0.25800000000000001</v>
      </c>
      <c r="J65">
        <v>1.6E-2</v>
      </c>
      <c r="K65" t="s">
        <v>104</v>
      </c>
      <c r="L65">
        <v>18</v>
      </c>
      <c r="M65">
        <v>0.84599999999999997</v>
      </c>
      <c r="N65">
        <v>151.91499999999999</v>
      </c>
      <c r="O65" s="1">
        <v>2.8200000000000001E-5</v>
      </c>
      <c r="P65">
        <v>1</v>
      </c>
      <c r="Q65">
        <v>13</v>
      </c>
      <c r="R65" t="s">
        <v>105</v>
      </c>
      <c r="S65" t="s">
        <v>106</v>
      </c>
      <c r="T65">
        <f>I65*-0.5+M65*0.5</f>
        <v>0.29399999999999998</v>
      </c>
      <c r="U65">
        <f>I65*0.7+M65*-0.25+D65*-0.25</f>
        <v>-5.1125000000000011E-2</v>
      </c>
      <c r="V65">
        <f>J65*0.5+I65*-0.5</f>
        <v>-0.121</v>
      </c>
      <c r="W65">
        <f>M65*0.5+G65*0.25+I65*0.25</f>
        <v>0.58799999999999997</v>
      </c>
    </row>
    <row r="66" spans="1:23" x14ac:dyDescent="0.2">
      <c r="A66">
        <v>4.5100000000000001E-2</v>
      </c>
      <c r="B66">
        <v>8</v>
      </c>
      <c r="C66">
        <v>4</v>
      </c>
      <c r="D66">
        <v>0.41</v>
      </c>
      <c r="E66">
        <v>-4.6340000000000003</v>
      </c>
      <c r="F66">
        <v>263720</v>
      </c>
      <c r="G66">
        <v>0.51300000000000001</v>
      </c>
      <c r="H66">
        <v>268</v>
      </c>
      <c r="I66">
        <v>0.35699999999999998</v>
      </c>
      <c r="J66" s="1">
        <v>1.77E-5</v>
      </c>
      <c r="K66" t="s">
        <v>60</v>
      </c>
      <c r="L66">
        <v>45</v>
      </c>
      <c r="M66">
        <v>0.94499999999999995</v>
      </c>
      <c r="N66">
        <v>124.024</v>
      </c>
      <c r="O66">
        <v>0.157</v>
      </c>
      <c r="P66">
        <v>1</v>
      </c>
      <c r="Q66">
        <v>17</v>
      </c>
      <c r="R66" t="s">
        <v>61</v>
      </c>
      <c r="S66" t="s">
        <v>62</v>
      </c>
      <c r="T66">
        <f>I66*-0.5+M66*0.5</f>
        <v>0.29399999999999998</v>
      </c>
      <c r="U66">
        <f>I66*0.7+M66*-0.25+D66*-0.25</f>
        <v>-8.8849999999999998E-2</v>
      </c>
      <c r="V66">
        <f>J66*0.5+I66*-0.5</f>
        <v>-0.17849114999999999</v>
      </c>
      <c r="W66">
        <f>M66*0.5+G66*0.25+I66*0.25</f>
        <v>0.69</v>
      </c>
    </row>
    <row r="67" spans="1:23" x14ac:dyDescent="0.2">
      <c r="A67">
        <v>0.23200000000000001</v>
      </c>
      <c r="B67">
        <v>7</v>
      </c>
      <c r="C67">
        <v>4</v>
      </c>
      <c r="D67">
        <v>0.33200000000000002</v>
      </c>
      <c r="E67">
        <v>-1.8660000000000001</v>
      </c>
      <c r="F67">
        <v>238693</v>
      </c>
      <c r="G67">
        <v>0.35299999999999998</v>
      </c>
      <c r="H67">
        <v>238</v>
      </c>
      <c r="I67">
        <v>0.23499999999999999</v>
      </c>
      <c r="J67">
        <v>0.155</v>
      </c>
      <c r="K67" t="s">
        <v>371</v>
      </c>
      <c r="L67">
        <v>38</v>
      </c>
      <c r="M67">
        <v>0.82199999999999995</v>
      </c>
      <c r="N67">
        <v>167.905</v>
      </c>
      <c r="O67">
        <v>0</v>
      </c>
      <c r="P67">
        <v>1</v>
      </c>
      <c r="Q67">
        <v>9</v>
      </c>
      <c r="R67" t="s">
        <v>372</v>
      </c>
      <c r="S67" t="s">
        <v>373</v>
      </c>
      <c r="T67">
        <f>I67*-0.5+M67*0.5</f>
        <v>0.29349999999999998</v>
      </c>
      <c r="U67">
        <f>I67*0.7+M67*-0.25+D67*-0.25</f>
        <v>-0.12400000000000001</v>
      </c>
      <c r="V67">
        <f>J67*0.5+I67*-0.5</f>
        <v>-3.9999999999999994E-2</v>
      </c>
      <c r="W67">
        <f>M67*0.5+G67*0.25+I67*0.25</f>
        <v>0.55799999999999994</v>
      </c>
    </row>
    <row r="68" spans="1:23" x14ac:dyDescent="0.2">
      <c r="A68">
        <v>4.4900000000000002E-2</v>
      </c>
      <c r="B68">
        <v>2</v>
      </c>
      <c r="C68">
        <v>4</v>
      </c>
      <c r="D68">
        <v>0.52200000000000002</v>
      </c>
      <c r="E68">
        <v>-3.302</v>
      </c>
      <c r="F68">
        <v>259707</v>
      </c>
      <c r="G68">
        <v>0.434</v>
      </c>
      <c r="H68">
        <v>258</v>
      </c>
      <c r="I68">
        <v>0.24</v>
      </c>
      <c r="J68">
        <v>9.5299999999999996E-2</v>
      </c>
      <c r="K68" t="s">
        <v>247</v>
      </c>
      <c r="L68">
        <v>49</v>
      </c>
      <c r="M68">
        <v>0.82099999999999995</v>
      </c>
      <c r="N68">
        <v>171.971</v>
      </c>
      <c r="O68">
        <v>1.5800000000000002E-2</v>
      </c>
      <c r="P68">
        <v>1</v>
      </c>
      <c r="Q68">
        <v>18</v>
      </c>
      <c r="R68" t="s">
        <v>248</v>
      </c>
      <c r="S68" t="s">
        <v>249</v>
      </c>
      <c r="T68">
        <f>I68*-0.5+M68*0.5</f>
        <v>0.29049999999999998</v>
      </c>
      <c r="U68">
        <f>I68*0.7+M68*-0.25+D68*-0.25</f>
        <v>-0.16775000000000001</v>
      </c>
      <c r="V68">
        <f>J68*0.5+I68*-0.5</f>
        <v>-7.2349999999999998E-2</v>
      </c>
      <c r="W68">
        <f>M68*0.5+G68*0.25+I68*0.25</f>
        <v>0.57899999999999996</v>
      </c>
    </row>
    <row r="69" spans="1:23" x14ac:dyDescent="0.2">
      <c r="A69">
        <v>2.8299999999999999E-2</v>
      </c>
      <c r="B69">
        <v>11</v>
      </c>
      <c r="C69">
        <v>4</v>
      </c>
      <c r="D69">
        <v>0.16800000000000001</v>
      </c>
      <c r="E69">
        <v>-6.9</v>
      </c>
      <c r="F69">
        <v>330000</v>
      </c>
      <c r="G69">
        <v>0.60899999999999999</v>
      </c>
      <c r="H69">
        <v>227</v>
      </c>
      <c r="I69">
        <v>0.25600000000000001</v>
      </c>
      <c r="J69">
        <v>1.0900000000000001E-4</v>
      </c>
      <c r="K69" t="s">
        <v>97</v>
      </c>
      <c r="L69">
        <v>26</v>
      </c>
      <c r="M69">
        <v>0.83699999999999997</v>
      </c>
      <c r="N69">
        <v>127.989</v>
      </c>
      <c r="O69" s="1">
        <v>1.63E-5</v>
      </c>
      <c r="P69">
        <v>1</v>
      </c>
      <c r="Q69">
        <v>20</v>
      </c>
      <c r="R69" t="s">
        <v>23</v>
      </c>
      <c r="S69" t="s">
        <v>98</v>
      </c>
      <c r="T69">
        <f>I69*-0.5+M69*0.5</f>
        <v>0.29049999999999998</v>
      </c>
      <c r="U69">
        <f>I69*0.7+M69*-0.25+D69*-0.25</f>
        <v>-7.2050000000000003E-2</v>
      </c>
      <c r="V69">
        <f>J69*0.5+I69*-0.5</f>
        <v>-0.12794549999999999</v>
      </c>
      <c r="W69">
        <f>M69*0.5+G69*0.25+I69*0.25</f>
        <v>0.63474999999999993</v>
      </c>
    </row>
    <row r="70" spans="1:23" x14ac:dyDescent="0.2">
      <c r="A70">
        <v>7.5700000000000003E-2</v>
      </c>
      <c r="B70">
        <v>9</v>
      </c>
      <c r="C70">
        <v>4</v>
      </c>
      <c r="D70">
        <v>7.6799999999999993E-2</v>
      </c>
      <c r="E70">
        <v>-2.996</v>
      </c>
      <c r="F70">
        <v>281560</v>
      </c>
      <c r="G70">
        <v>0.20899999999999999</v>
      </c>
      <c r="H70">
        <v>277</v>
      </c>
      <c r="I70">
        <v>0.29199999999999998</v>
      </c>
      <c r="J70">
        <v>0.217</v>
      </c>
      <c r="K70" t="s">
        <v>485</v>
      </c>
      <c r="L70">
        <v>32</v>
      </c>
      <c r="M70">
        <v>0.872</v>
      </c>
      <c r="N70">
        <v>78.138999999999996</v>
      </c>
      <c r="O70">
        <v>0</v>
      </c>
      <c r="P70">
        <v>1</v>
      </c>
      <c r="Q70">
        <v>14</v>
      </c>
      <c r="R70" t="s">
        <v>211</v>
      </c>
      <c r="S70" t="s">
        <v>486</v>
      </c>
      <c r="T70">
        <f>I70*-0.5+M70*0.5</f>
        <v>0.29000000000000004</v>
      </c>
      <c r="U70">
        <f>I70*0.7+M70*-0.25+D70*-0.25</f>
        <v>-3.2800000000000024E-2</v>
      </c>
      <c r="V70">
        <f>J70*0.5+I70*-0.5</f>
        <v>-3.7499999999999992E-2</v>
      </c>
      <c r="W70">
        <f>M70*0.5+G70*0.25+I70*0.25</f>
        <v>0.56125000000000003</v>
      </c>
    </row>
    <row r="71" spans="1:23" x14ac:dyDescent="0.2">
      <c r="A71">
        <v>4.4999999999999998E-2</v>
      </c>
      <c r="B71">
        <v>6</v>
      </c>
      <c r="C71">
        <v>4</v>
      </c>
      <c r="D71">
        <v>0.11700000000000001</v>
      </c>
      <c r="E71">
        <v>-3.1659999999999999</v>
      </c>
      <c r="F71">
        <v>238701</v>
      </c>
      <c r="G71">
        <v>0.48299999999999998</v>
      </c>
      <c r="H71">
        <v>237</v>
      </c>
      <c r="I71">
        <v>0.32900000000000001</v>
      </c>
      <c r="J71">
        <v>8.2200000000000003E-4</v>
      </c>
      <c r="K71" t="s">
        <v>75</v>
      </c>
      <c r="L71">
        <v>28</v>
      </c>
      <c r="M71">
        <v>0.90700000000000003</v>
      </c>
      <c r="N71">
        <v>130.98400000000001</v>
      </c>
      <c r="O71">
        <v>0</v>
      </c>
      <c r="P71">
        <v>1</v>
      </c>
      <c r="Q71">
        <v>17</v>
      </c>
      <c r="R71" t="s">
        <v>76</v>
      </c>
      <c r="S71" t="s">
        <v>77</v>
      </c>
      <c r="T71">
        <f>I71*-0.5+M71*0.5</f>
        <v>0.28900000000000003</v>
      </c>
      <c r="U71">
        <f>I71*0.7+M71*-0.25+D71*-0.25</f>
        <v>-2.5700000000000004E-2</v>
      </c>
      <c r="V71">
        <f>J71*0.5+I71*-0.5</f>
        <v>-0.16408900000000001</v>
      </c>
      <c r="W71">
        <f>M71*0.5+G71*0.25+I71*0.25</f>
        <v>0.65650000000000008</v>
      </c>
    </row>
    <row r="72" spans="1:23" x14ac:dyDescent="0.2">
      <c r="A72">
        <v>3.7100000000000001E-2</v>
      </c>
      <c r="B72">
        <v>2</v>
      </c>
      <c r="C72">
        <v>4</v>
      </c>
      <c r="D72">
        <v>0.16300000000000001</v>
      </c>
      <c r="E72">
        <v>-4.68</v>
      </c>
      <c r="F72">
        <v>209333</v>
      </c>
      <c r="G72">
        <v>0.433</v>
      </c>
      <c r="H72">
        <v>207</v>
      </c>
      <c r="I72">
        <v>0.20499999999999999</v>
      </c>
      <c r="J72">
        <v>8.3800000000000003E-3</v>
      </c>
      <c r="K72" t="s">
        <v>157</v>
      </c>
      <c r="L72">
        <v>26</v>
      </c>
      <c r="M72">
        <v>0.77800000000000002</v>
      </c>
      <c r="N72">
        <v>149.864</v>
      </c>
      <c r="O72">
        <v>0</v>
      </c>
      <c r="P72">
        <v>0</v>
      </c>
      <c r="Q72">
        <v>18</v>
      </c>
      <c r="R72" t="s">
        <v>158</v>
      </c>
      <c r="S72" t="s">
        <v>159</v>
      </c>
      <c r="T72">
        <f>I72*-0.5+M72*0.5</f>
        <v>0.28650000000000003</v>
      </c>
      <c r="U72">
        <f>I72*0.7+M72*-0.25+D72*-0.25</f>
        <v>-9.1750000000000026E-2</v>
      </c>
      <c r="V72">
        <f>J72*0.5+I72*-0.5</f>
        <v>-9.8309999999999995E-2</v>
      </c>
      <c r="W72">
        <f>M72*0.5+G72*0.25+I72*0.25</f>
        <v>0.54849999999999999</v>
      </c>
    </row>
    <row r="73" spans="1:23" x14ac:dyDescent="0.2">
      <c r="A73">
        <v>7.8299999999999995E-2</v>
      </c>
      <c r="B73">
        <v>8</v>
      </c>
      <c r="C73">
        <v>4</v>
      </c>
      <c r="D73">
        <v>7.3499999999999996E-2</v>
      </c>
      <c r="E73">
        <v>-3.3929999999999998</v>
      </c>
      <c r="F73">
        <v>271427</v>
      </c>
      <c r="G73">
        <v>0.51400000000000001</v>
      </c>
      <c r="H73">
        <v>267</v>
      </c>
      <c r="I73">
        <v>0.20799999999999999</v>
      </c>
      <c r="J73">
        <v>3.7100000000000001E-2</v>
      </c>
      <c r="K73" t="s">
        <v>196</v>
      </c>
      <c r="L73">
        <v>47</v>
      </c>
      <c r="M73">
        <v>0.77600000000000002</v>
      </c>
      <c r="N73">
        <v>127.97499999999999</v>
      </c>
      <c r="O73">
        <v>0</v>
      </c>
      <c r="P73">
        <v>1</v>
      </c>
      <c r="Q73">
        <v>8</v>
      </c>
      <c r="R73" t="s">
        <v>197</v>
      </c>
      <c r="S73" t="s">
        <v>198</v>
      </c>
      <c r="T73">
        <f>I73*-0.5+M73*0.5</f>
        <v>0.28400000000000003</v>
      </c>
      <c r="U73">
        <f>I73*0.7+M73*-0.25+D73*-0.25</f>
        <v>-6.6775000000000029E-2</v>
      </c>
      <c r="V73">
        <f>J73*0.5+I73*-0.5</f>
        <v>-8.5449999999999998E-2</v>
      </c>
      <c r="W73">
        <f>M73*0.5+G73*0.25+I73*0.25</f>
        <v>0.56850000000000001</v>
      </c>
    </row>
    <row r="74" spans="1:23" x14ac:dyDescent="0.2">
      <c r="A74">
        <v>2.8799999999999999E-2</v>
      </c>
      <c r="B74">
        <v>1</v>
      </c>
      <c r="C74">
        <v>4</v>
      </c>
      <c r="D74">
        <v>0.14099999999999999</v>
      </c>
      <c r="E74">
        <v>-5.1539999999999999</v>
      </c>
      <c r="F74">
        <v>224867</v>
      </c>
      <c r="G74">
        <v>0.58799999999999997</v>
      </c>
      <c r="H74">
        <v>221</v>
      </c>
      <c r="I74">
        <v>0.11799999999999999</v>
      </c>
      <c r="J74">
        <v>0.50800000000000001</v>
      </c>
      <c r="K74" t="s">
        <v>1885</v>
      </c>
      <c r="L74">
        <v>34</v>
      </c>
      <c r="M74">
        <v>0.68400000000000005</v>
      </c>
      <c r="N74">
        <v>85.997</v>
      </c>
      <c r="O74">
        <v>0</v>
      </c>
      <c r="P74">
        <v>1</v>
      </c>
      <c r="Q74">
        <v>15</v>
      </c>
      <c r="R74" t="s">
        <v>989</v>
      </c>
      <c r="S74" t="s">
        <v>1886</v>
      </c>
      <c r="T74">
        <f>I74*-0.5+M74*0.5</f>
        <v>0.28300000000000003</v>
      </c>
      <c r="U74">
        <f>I74*0.7+M74*-0.25+D74*-0.25</f>
        <v>-0.12365000000000001</v>
      </c>
      <c r="V74">
        <f>J74*0.5+I74*-0.5</f>
        <v>0.19500000000000001</v>
      </c>
      <c r="W74">
        <f>M74*0.5+G74*0.25+I74*0.25</f>
        <v>0.51849999999999996</v>
      </c>
    </row>
    <row r="75" spans="1:23" x14ac:dyDescent="0.2">
      <c r="A75">
        <v>3.85E-2</v>
      </c>
      <c r="B75">
        <v>1</v>
      </c>
      <c r="C75">
        <v>4</v>
      </c>
      <c r="D75">
        <v>0.69599999999999995</v>
      </c>
      <c r="E75">
        <v>-3.5880000000000001</v>
      </c>
      <c r="F75">
        <v>250600</v>
      </c>
      <c r="G75">
        <v>0.56899999999999995</v>
      </c>
      <c r="H75">
        <v>249</v>
      </c>
      <c r="I75">
        <v>0.189</v>
      </c>
      <c r="J75">
        <v>1.17E-2</v>
      </c>
      <c r="K75" t="s">
        <v>172</v>
      </c>
      <c r="L75">
        <v>33</v>
      </c>
      <c r="M75">
        <v>0.755</v>
      </c>
      <c r="N75">
        <v>91.022000000000006</v>
      </c>
      <c r="O75">
        <v>0</v>
      </c>
      <c r="P75">
        <v>1</v>
      </c>
      <c r="Q75">
        <v>3</v>
      </c>
      <c r="R75" t="s">
        <v>173</v>
      </c>
      <c r="S75" t="s">
        <v>174</v>
      </c>
      <c r="T75">
        <f>I75*-0.5+M75*0.5</f>
        <v>0.28300000000000003</v>
      </c>
      <c r="U75">
        <f>I75*0.7+M75*-0.25+D75*-0.25</f>
        <v>-0.23044999999999999</v>
      </c>
      <c r="V75">
        <f>J75*0.5+I75*-0.5</f>
        <v>-8.8650000000000007E-2</v>
      </c>
      <c r="W75">
        <f>M75*0.5+G75*0.25+I75*0.25</f>
        <v>0.56699999999999995</v>
      </c>
    </row>
    <row r="76" spans="1:23" x14ac:dyDescent="0.2">
      <c r="A76">
        <v>4.65E-2</v>
      </c>
      <c r="B76">
        <v>5</v>
      </c>
      <c r="C76">
        <v>4</v>
      </c>
      <c r="D76">
        <v>0.14399999999999999</v>
      </c>
      <c r="E76">
        <v>-4.6230000000000002</v>
      </c>
      <c r="F76">
        <v>231653</v>
      </c>
      <c r="G76">
        <v>0.65900000000000003</v>
      </c>
      <c r="H76">
        <v>229</v>
      </c>
      <c r="I76">
        <v>0.316</v>
      </c>
      <c r="J76">
        <v>2.58E-2</v>
      </c>
      <c r="K76" t="s">
        <v>124</v>
      </c>
      <c r="L76">
        <v>38</v>
      </c>
      <c r="M76">
        <v>0.88200000000000001</v>
      </c>
      <c r="N76">
        <v>125.985</v>
      </c>
      <c r="O76" s="1">
        <v>9.2E-6</v>
      </c>
      <c r="P76">
        <v>0</v>
      </c>
      <c r="Q76">
        <v>2</v>
      </c>
      <c r="R76" t="s">
        <v>125</v>
      </c>
      <c r="S76" t="s">
        <v>126</v>
      </c>
      <c r="T76">
        <f>I76*-0.5+M76*0.5</f>
        <v>0.28300000000000003</v>
      </c>
      <c r="U76">
        <f>I76*0.7+M76*-0.25+D76*-0.25</f>
        <v>-3.5300000000000019E-2</v>
      </c>
      <c r="V76">
        <f>J76*0.5+I76*-0.5</f>
        <v>-0.14510000000000001</v>
      </c>
      <c r="W76">
        <f>M76*0.5+G76*0.25+I76*0.25</f>
        <v>0.68474999999999997</v>
      </c>
    </row>
    <row r="77" spans="1:23" x14ac:dyDescent="0.2">
      <c r="A77">
        <v>3.6799999999999999E-2</v>
      </c>
      <c r="B77">
        <v>8</v>
      </c>
      <c r="C77">
        <v>4</v>
      </c>
      <c r="D77">
        <v>0.14399999999999999</v>
      </c>
      <c r="E77">
        <v>-5.3109999999999999</v>
      </c>
      <c r="F77">
        <v>205947</v>
      </c>
      <c r="G77">
        <v>0.65200000000000002</v>
      </c>
      <c r="H77">
        <v>203</v>
      </c>
      <c r="I77">
        <v>0.14699999999999999</v>
      </c>
      <c r="J77">
        <v>7.7100000000000002E-2</v>
      </c>
      <c r="K77" t="s">
        <v>368</v>
      </c>
      <c r="L77">
        <v>61</v>
      </c>
      <c r="M77">
        <v>0.71299999999999997</v>
      </c>
      <c r="N77">
        <v>100.023</v>
      </c>
      <c r="O77" s="1">
        <v>1.0200000000000001E-5</v>
      </c>
      <c r="P77">
        <v>1</v>
      </c>
      <c r="Q77">
        <v>5</v>
      </c>
      <c r="R77" t="s">
        <v>369</v>
      </c>
      <c r="S77" t="s">
        <v>370</v>
      </c>
      <c r="T77">
        <f>I77*-0.5+M77*0.5</f>
        <v>0.28299999999999997</v>
      </c>
      <c r="U77">
        <f>I77*0.7+M77*-0.25+D77*-0.25</f>
        <v>-0.11135</v>
      </c>
      <c r="V77">
        <f>J77*0.5+I77*-0.5</f>
        <v>-3.4949999999999995E-2</v>
      </c>
      <c r="W77">
        <f>M77*0.5+G77*0.25+I77*0.25</f>
        <v>0.55624999999999991</v>
      </c>
    </row>
    <row r="78" spans="1:23" x14ac:dyDescent="0.2">
      <c r="A78">
        <v>0.05</v>
      </c>
      <c r="B78">
        <v>7</v>
      </c>
      <c r="C78">
        <v>4</v>
      </c>
      <c r="D78">
        <v>0.29199999999999998</v>
      </c>
      <c r="E78">
        <v>-4.04</v>
      </c>
      <c r="F78">
        <v>224507</v>
      </c>
      <c r="G78">
        <v>0.55900000000000005</v>
      </c>
      <c r="H78">
        <v>222</v>
      </c>
      <c r="I78">
        <v>0.29499999999999998</v>
      </c>
      <c r="J78">
        <v>9.9099999999999994E-2</v>
      </c>
      <c r="K78" t="s">
        <v>245</v>
      </c>
      <c r="L78">
        <v>44</v>
      </c>
      <c r="M78">
        <v>0.86</v>
      </c>
      <c r="N78">
        <v>118.96899999999999</v>
      </c>
      <c r="O78">
        <v>0</v>
      </c>
      <c r="P78">
        <v>1</v>
      </c>
      <c r="Q78">
        <v>12</v>
      </c>
      <c r="R78" t="s">
        <v>211</v>
      </c>
      <c r="S78" t="s">
        <v>246</v>
      </c>
      <c r="T78">
        <f>I78*-0.5+M78*0.5</f>
        <v>0.28249999999999997</v>
      </c>
      <c r="U78">
        <f>I78*0.7+M78*-0.25+D78*-0.25</f>
        <v>-8.1500000000000003E-2</v>
      </c>
      <c r="V78">
        <f>J78*0.5+I78*-0.5</f>
        <v>-9.7949999999999995E-2</v>
      </c>
      <c r="W78">
        <f>M78*0.5+G78*0.25+I78*0.25</f>
        <v>0.64349999999999996</v>
      </c>
    </row>
    <row r="79" spans="1:23" x14ac:dyDescent="0.2">
      <c r="A79">
        <v>3.9800000000000002E-2</v>
      </c>
      <c r="B79">
        <v>11</v>
      </c>
      <c r="C79">
        <v>4</v>
      </c>
      <c r="D79">
        <v>6.4399999999999999E-2</v>
      </c>
      <c r="E79">
        <v>-3.617</v>
      </c>
      <c r="F79">
        <v>252360</v>
      </c>
      <c r="G79">
        <v>0.46800000000000003</v>
      </c>
      <c r="H79">
        <v>250</v>
      </c>
      <c r="I79">
        <v>0.28699999999999998</v>
      </c>
      <c r="J79">
        <v>2.81E-4</v>
      </c>
      <c r="K79" t="s">
        <v>113</v>
      </c>
      <c r="L79">
        <v>13</v>
      </c>
      <c r="M79">
        <v>0.85099999999999998</v>
      </c>
      <c r="N79">
        <v>92.078999999999994</v>
      </c>
      <c r="O79">
        <v>4.8300000000000001E-3</v>
      </c>
      <c r="P79">
        <v>1</v>
      </c>
      <c r="Q79">
        <v>17</v>
      </c>
      <c r="R79" t="s">
        <v>73</v>
      </c>
      <c r="S79" t="s">
        <v>114</v>
      </c>
      <c r="T79">
        <f>I79*-0.5+M79*0.5</f>
        <v>0.28200000000000003</v>
      </c>
      <c r="U79">
        <f>I79*0.7+M79*-0.25+D79*-0.25</f>
        <v>-2.7950000000000027E-2</v>
      </c>
      <c r="V79">
        <f>J79*0.5+I79*-0.5</f>
        <v>-0.1433595</v>
      </c>
      <c r="W79">
        <f>M79*0.5+G79*0.25+I79*0.25</f>
        <v>0.61424999999999996</v>
      </c>
    </row>
    <row r="80" spans="1:23" x14ac:dyDescent="0.2">
      <c r="A80">
        <v>7.0800000000000002E-2</v>
      </c>
      <c r="B80">
        <v>9</v>
      </c>
      <c r="C80">
        <v>4</v>
      </c>
      <c r="D80">
        <v>0.16800000000000001</v>
      </c>
      <c r="E80">
        <v>-6.3230000000000004</v>
      </c>
      <c r="F80">
        <v>182307</v>
      </c>
      <c r="G80">
        <v>0.70599999999999996</v>
      </c>
      <c r="H80">
        <v>180</v>
      </c>
      <c r="I80">
        <v>0.189</v>
      </c>
      <c r="J80">
        <v>0.17299999999999999</v>
      </c>
      <c r="K80" t="s">
        <v>566</v>
      </c>
      <c r="L80">
        <v>33</v>
      </c>
      <c r="M80">
        <v>0.751</v>
      </c>
      <c r="N80">
        <v>91.031000000000006</v>
      </c>
      <c r="O80">
        <v>0</v>
      </c>
      <c r="P80">
        <v>1</v>
      </c>
      <c r="Q80">
        <v>8</v>
      </c>
      <c r="R80" t="s">
        <v>567</v>
      </c>
      <c r="S80" t="s">
        <v>568</v>
      </c>
      <c r="T80">
        <f>I80*-0.5+M80*0.5</f>
        <v>0.28100000000000003</v>
      </c>
      <c r="U80">
        <f>I80*0.7+M80*-0.25+D80*-0.25</f>
        <v>-9.7450000000000009E-2</v>
      </c>
      <c r="V80">
        <f>J80*0.5+I80*-0.5</f>
        <v>-8.0000000000000071E-3</v>
      </c>
      <c r="W80">
        <f>M80*0.5+G80*0.25+I80*0.25</f>
        <v>0.59925000000000006</v>
      </c>
    </row>
    <row r="81" spans="1:23" x14ac:dyDescent="0.2">
      <c r="A81">
        <v>2.93E-2</v>
      </c>
      <c r="B81">
        <v>4</v>
      </c>
      <c r="C81">
        <v>4</v>
      </c>
      <c r="D81">
        <v>0.16</v>
      </c>
      <c r="E81">
        <v>-4.67</v>
      </c>
      <c r="F81">
        <v>232800</v>
      </c>
      <c r="G81">
        <v>0.47299999999999998</v>
      </c>
      <c r="H81">
        <v>230</v>
      </c>
      <c r="I81">
        <v>8.4699999999999998E-2</v>
      </c>
      <c r="J81">
        <v>1.34E-2</v>
      </c>
      <c r="K81" t="s">
        <v>285</v>
      </c>
      <c r="L81">
        <v>16</v>
      </c>
      <c r="M81">
        <v>0.64300000000000002</v>
      </c>
      <c r="N81">
        <v>82.95</v>
      </c>
      <c r="O81">
        <v>0</v>
      </c>
      <c r="P81">
        <v>1</v>
      </c>
      <c r="Q81">
        <v>14</v>
      </c>
      <c r="R81" t="s">
        <v>105</v>
      </c>
      <c r="S81" t="s">
        <v>286</v>
      </c>
      <c r="T81">
        <f>I81*-0.5+M81*0.5</f>
        <v>0.27915000000000001</v>
      </c>
      <c r="U81">
        <f>I81*0.7+M81*-0.25+D81*-0.25</f>
        <v>-0.14146</v>
      </c>
      <c r="V81">
        <f>J81*0.5+I81*-0.5</f>
        <v>-3.5650000000000001E-2</v>
      </c>
      <c r="W81">
        <f>M81*0.5+G81*0.25+I81*0.25</f>
        <v>0.46092499999999997</v>
      </c>
    </row>
    <row r="82" spans="1:23" x14ac:dyDescent="0.2">
      <c r="A82">
        <v>6.4899999999999999E-2</v>
      </c>
      <c r="B82">
        <v>4</v>
      </c>
      <c r="C82">
        <v>4</v>
      </c>
      <c r="D82">
        <v>0.13700000000000001</v>
      </c>
      <c r="E82">
        <v>-4.08</v>
      </c>
      <c r="F82">
        <v>246827</v>
      </c>
      <c r="G82">
        <v>0.439</v>
      </c>
      <c r="H82">
        <v>246</v>
      </c>
      <c r="I82">
        <v>0.35</v>
      </c>
      <c r="J82">
        <v>1.9599999999999999E-2</v>
      </c>
      <c r="K82" t="s">
        <v>110</v>
      </c>
      <c r="L82">
        <v>17</v>
      </c>
      <c r="M82">
        <v>0.90800000000000003</v>
      </c>
      <c r="N82">
        <v>140.018</v>
      </c>
      <c r="O82">
        <v>5.4000000000000003E-3</v>
      </c>
      <c r="P82">
        <v>1</v>
      </c>
      <c r="Q82">
        <v>14</v>
      </c>
      <c r="R82" t="s">
        <v>111</v>
      </c>
      <c r="S82" t="s">
        <v>112</v>
      </c>
      <c r="T82">
        <f>I82*-0.5+M82*0.5</f>
        <v>0.27900000000000003</v>
      </c>
      <c r="U82">
        <f>I82*0.7+M82*-0.25+D82*-0.25</f>
        <v>-1.6250000000000042E-2</v>
      </c>
      <c r="V82">
        <f>J82*0.5+I82*-0.5</f>
        <v>-0.16519999999999999</v>
      </c>
      <c r="W82">
        <f>M82*0.5+G82*0.25+I82*0.25</f>
        <v>0.65125</v>
      </c>
    </row>
    <row r="83" spans="1:23" x14ac:dyDescent="0.2">
      <c r="A83">
        <v>4.36E-2</v>
      </c>
      <c r="B83">
        <v>9</v>
      </c>
      <c r="C83">
        <v>4</v>
      </c>
      <c r="D83">
        <v>0.16400000000000001</v>
      </c>
      <c r="E83">
        <v>-2.8260000000000001</v>
      </c>
      <c r="F83">
        <v>250311</v>
      </c>
      <c r="G83">
        <v>0.36299999999999999</v>
      </c>
      <c r="H83">
        <v>249</v>
      </c>
      <c r="I83">
        <v>0.27700000000000002</v>
      </c>
      <c r="J83">
        <v>6.2899999999999998E-2</v>
      </c>
      <c r="K83" t="s">
        <v>208</v>
      </c>
      <c r="L83">
        <v>29</v>
      </c>
      <c r="M83">
        <v>0.83399999999999996</v>
      </c>
      <c r="N83">
        <v>161.97200000000001</v>
      </c>
      <c r="O83">
        <v>0</v>
      </c>
      <c r="P83">
        <v>0</v>
      </c>
      <c r="Q83">
        <v>17</v>
      </c>
      <c r="R83" t="s">
        <v>76</v>
      </c>
      <c r="S83" t="s">
        <v>209</v>
      </c>
      <c r="T83">
        <f>I83*-0.5+M83*0.5</f>
        <v>0.27849999999999997</v>
      </c>
      <c r="U83">
        <f>I83*0.7+M83*-0.25+D83*-0.25</f>
        <v>-5.5599999999999976E-2</v>
      </c>
      <c r="V83">
        <f>J83*0.5+I83*-0.5</f>
        <v>-0.10705000000000001</v>
      </c>
      <c r="W83">
        <f>M83*0.5+G83*0.25+I83*0.25</f>
        <v>0.57699999999999996</v>
      </c>
    </row>
    <row r="84" spans="1:23" x14ac:dyDescent="0.2">
      <c r="A84">
        <v>6.0199999999999997E-2</v>
      </c>
      <c r="B84">
        <v>5</v>
      </c>
      <c r="C84">
        <v>4</v>
      </c>
      <c r="D84">
        <v>0.33900000000000002</v>
      </c>
      <c r="E84">
        <v>-4.141</v>
      </c>
      <c r="F84">
        <v>176040</v>
      </c>
      <c r="G84">
        <v>0.69699999999999995</v>
      </c>
      <c r="H84">
        <v>175</v>
      </c>
      <c r="I84">
        <v>0.23200000000000001</v>
      </c>
      <c r="J84">
        <v>1.5299999999999999E-3</v>
      </c>
      <c r="K84" t="s">
        <v>163</v>
      </c>
      <c r="L84">
        <v>55</v>
      </c>
      <c r="M84">
        <v>0.78800000000000003</v>
      </c>
      <c r="N84">
        <v>98.004999999999995</v>
      </c>
      <c r="O84">
        <v>1.64E-3</v>
      </c>
      <c r="P84">
        <v>0</v>
      </c>
      <c r="Q84">
        <v>7</v>
      </c>
      <c r="R84" t="s">
        <v>164</v>
      </c>
      <c r="S84" t="s">
        <v>165</v>
      </c>
      <c r="T84">
        <f>I84*-0.5+M84*0.5</f>
        <v>0.27800000000000002</v>
      </c>
      <c r="U84">
        <f>I84*0.7+M84*-0.25+D84*-0.25</f>
        <v>-0.11935000000000003</v>
      </c>
      <c r="V84">
        <f>J84*0.5+I84*-0.5</f>
        <v>-0.115235</v>
      </c>
      <c r="W84">
        <f>M84*0.5+G84*0.25+I84*0.25</f>
        <v>0.62625000000000008</v>
      </c>
    </row>
    <row r="85" spans="1:23" x14ac:dyDescent="0.2">
      <c r="A85">
        <v>9.8599999999999993E-2</v>
      </c>
      <c r="B85">
        <v>0</v>
      </c>
      <c r="C85">
        <v>4</v>
      </c>
      <c r="D85">
        <v>0.129</v>
      </c>
      <c r="E85">
        <v>-3.641</v>
      </c>
      <c r="F85">
        <v>245041</v>
      </c>
      <c r="G85">
        <v>0.59899999999999998</v>
      </c>
      <c r="H85">
        <v>210</v>
      </c>
      <c r="I85">
        <v>0.254</v>
      </c>
      <c r="J85">
        <v>6.9000000000000006E-2</v>
      </c>
      <c r="K85" t="s">
        <v>259</v>
      </c>
      <c r="L85">
        <v>43</v>
      </c>
      <c r="M85">
        <v>0.80300000000000005</v>
      </c>
      <c r="N85">
        <v>126.057</v>
      </c>
      <c r="O85">
        <v>0.13700000000000001</v>
      </c>
      <c r="P85">
        <v>0</v>
      </c>
      <c r="Q85">
        <v>4</v>
      </c>
      <c r="R85" t="s">
        <v>260</v>
      </c>
      <c r="S85" t="s">
        <v>261</v>
      </c>
      <c r="T85">
        <f>I85*-0.5+M85*0.5</f>
        <v>0.27450000000000002</v>
      </c>
      <c r="U85">
        <f>I85*0.7+M85*-0.25+D85*-0.25</f>
        <v>-5.5200000000000027E-2</v>
      </c>
      <c r="V85">
        <f>J85*0.5+I85*-0.5</f>
        <v>-9.2499999999999999E-2</v>
      </c>
      <c r="W85">
        <f>M85*0.5+G85*0.25+I85*0.25</f>
        <v>0.61475000000000002</v>
      </c>
    </row>
    <row r="86" spans="1:23" x14ac:dyDescent="0.2">
      <c r="A86">
        <v>3.6400000000000002E-2</v>
      </c>
      <c r="B86">
        <v>4</v>
      </c>
      <c r="C86">
        <v>3</v>
      </c>
      <c r="D86">
        <v>0.17899999999999999</v>
      </c>
      <c r="E86">
        <v>-4.54</v>
      </c>
      <c r="F86">
        <v>200480</v>
      </c>
      <c r="G86">
        <v>0.42699999999999999</v>
      </c>
      <c r="H86">
        <v>190</v>
      </c>
      <c r="I86">
        <v>0.29699999999999999</v>
      </c>
      <c r="J86">
        <v>2.16E-3</v>
      </c>
      <c r="K86" t="s">
        <v>151</v>
      </c>
      <c r="L86">
        <v>11</v>
      </c>
      <c r="M86">
        <v>0.84299999999999997</v>
      </c>
      <c r="N86">
        <v>147.387</v>
      </c>
      <c r="O86">
        <v>0</v>
      </c>
      <c r="P86">
        <v>1</v>
      </c>
      <c r="Q86">
        <v>15</v>
      </c>
      <c r="R86" t="s">
        <v>152</v>
      </c>
      <c r="S86" t="s">
        <v>153</v>
      </c>
      <c r="T86">
        <f>I86*-0.5+M86*0.5</f>
        <v>0.27300000000000002</v>
      </c>
      <c r="U86">
        <f>I86*0.7+M86*-0.25+D86*-0.25</f>
        <v>-4.7600000000000017E-2</v>
      </c>
      <c r="V86">
        <f>J86*0.5+I86*-0.5</f>
        <v>-0.14742</v>
      </c>
      <c r="W86">
        <f>M86*0.5+G86*0.25+I86*0.25</f>
        <v>0.60250000000000004</v>
      </c>
    </row>
    <row r="87" spans="1:23" x14ac:dyDescent="0.2">
      <c r="A87">
        <v>3.2300000000000002E-2</v>
      </c>
      <c r="B87">
        <v>4</v>
      </c>
      <c r="C87">
        <v>4</v>
      </c>
      <c r="D87">
        <v>0.22800000000000001</v>
      </c>
      <c r="E87">
        <v>-3.9209999999999998</v>
      </c>
      <c r="F87">
        <v>240493</v>
      </c>
      <c r="G87">
        <v>0.45800000000000002</v>
      </c>
      <c r="H87">
        <v>237</v>
      </c>
      <c r="I87">
        <v>0.17499999999999999</v>
      </c>
      <c r="J87">
        <v>0.189</v>
      </c>
      <c r="K87" t="s">
        <v>690</v>
      </c>
      <c r="L87">
        <v>26</v>
      </c>
      <c r="M87">
        <v>0.71899999999999997</v>
      </c>
      <c r="N87">
        <v>142.03200000000001</v>
      </c>
      <c r="O87">
        <v>0</v>
      </c>
      <c r="P87">
        <v>0</v>
      </c>
      <c r="Q87">
        <v>13</v>
      </c>
      <c r="R87" t="s">
        <v>528</v>
      </c>
      <c r="S87" t="s">
        <v>691</v>
      </c>
      <c r="T87">
        <f>I87*-0.5+M87*0.5</f>
        <v>0.27200000000000002</v>
      </c>
      <c r="U87">
        <f>I87*0.7+M87*-0.25+D87*-0.25</f>
        <v>-0.11425000000000002</v>
      </c>
      <c r="V87">
        <f>J87*0.5+I87*-0.5</f>
        <v>7.0000000000000062E-3</v>
      </c>
      <c r="W87">
        <f>M87*0.5+G87*0.25+I87*0.25</f>
        <v>0.51774999999999993</v>
      </c>
    </row>
    <row r="88" spans="1:23" x14ac:dyDescent="0.2">
      <c r="A88">
        <v>4.3400000000000001E-2</v>
      </c>
      <c r="B88">
        <v>9</v>
      </c>
      <c r="C88">
        <v>4</v>
      </c>
      <c r="D88">
        <v>8.09E-2</v>
      </c>
      <c r="E88">
        <v>-4.774</v>
      </c>
      <c r="F88">
        <v>195040</v>
      </c>
      <c r="G88">
        <v>0.27900000000000003</v>
      </c>
      <c r="H88">
        <v>193</v>
      </c>
      <c r="I88">
        <v>0.184</v>
      </c>
      <c r="J88">
        <v>4.5600000000000003E-4</v>
      </c>
      <c r="K88" t="s">
        <v>226</v>
      </c>
      <c r="L88">
        <v>8</v>
      </c>
      <c r="M88">
        <v>0.72799999999999998</v>
      </c>
      <c r="N88">
        <v>175.917</v>
      </c>
      <c r="O88" s="1">
        <v>1.46E-6</v>
      </c>
      <c r="P88">
        <v>1</v>
      </c>
      <c r="Q88">
        <v>18</v>
      </c>
      <c r="R88" t="s">
        <v>86</v>
      </c>
      <c r="S88" t="s">
        <v>227</v>
      </c>
      <c r="T88">
        <f>I88*-0.5+M88*0.5</f>
        <v>0.27200000000000002</v>
      </c>
      <c r="U88">
        <f>I88*0.7+M88*-0.25+D88*-0.25</f>
        <v>-7.342499999999999E-2</v>
      </c>
      <c r="V88">
        <f>J88*0.5+I88*-0.5</f>
        <v>-9.1771999999999992E-2</v>
      </c>
      <c r="W88">
        <f>M88*0.5+G88*0.25+I88*0.25</f>
        <v>0.47974999999999995</v>
      </c>
    </row>
    <row r="89" spans="1:23" x14ac:dyDescent="0.2">
      <c r="A89">
        <v>0.14099999999999999</v>
      </c>
      <c r="B89">
        <v>10</v>
      </c>
      <c r="C89">
        <v>4</v>
      </c>
      <c r="D89">
        <v>0.16</v>
      </c>
      <c r="E89">
        <v>-3.17</v>
      </c>
      <c r="F89">
        <v>226707</v>
      </c>
      <c r="G89">
        <v>0.44</v>
      </c>
      <c r="H89">
        <v>221</v>
      </c>
      <c r="I89">
        <v>0.433</v>
      </c>
      <c r="J89">
        <v>1.7700000000000001E-3</v>
      </c>
      <c r="K89" t="s">
        <v>78</v>
      </c>
      <c r="L89">
        <v>32</v>
      </c>
      <c r="M89">
        <v>0.97599999999999998</v>
      </c>
      <c r="N89">
        <v>150.005</v>
      </c>
      <c r="O89" s="1">
        <v>3.3900000000000002E-6</v>
      </c>
      <c r="P89">
        <v>1</v>
      </c>
      <c r="Q89">
        <v>16</v>
      </c>
      <c r="R89" t="s">
        <v>79</v>
      </c>
      <c r="S89" t="s">
        <v>80</v>
      </c>
      <c r="T89">
        <f>I89*-0.5+M89*0.5</f>
        <v>0.27149999999999996</v>
      </c>
      <c r="U89">
        <f>I89*0.7+M89*-0.25+D89*-0.25</f>
        <v>1.9099999999999985E-2</v>
      </c>
      <c r="V89">
        <f>J89*0.5+I89*-0.5</f>
        <v>-0.215615</v>
      </c>
      <c r="W89">
        <f>M89*0.5+G89*0.25+I89*0.25</f>
        <v>0.70624999999999993</v>
      </c>
    </row>
    <row r="90" spans="1:23" x14ac:dyDescent="0.2">
      <c r="A90">
        <v>0.125</v>
      </c>
      <c r="B90">
        <v>4</v>
      </c>
      <c r="C90">
        <v>4</v>
      </c>
      <c r="D90">
        <v>0.32400000000000001</v>
      </c>
      <c r="E90">
        <v>-4.9340000000000002</v>
      </c>
      <c r="F90">
        <v>203080</v>
      </c>
      <c r="G90">
        <v>0.52100000000000002</v>
      </c>
      <c r="H90">
        <v>201</v>
      </c>
      <c r="I90">
        <v>0.34300000000000003</v>
      </c>
      <c r="J90">
        <v>3.2699999999999999E-3</v>
      </c>
      <c r="K90" t="s">
        <v>121</v>
      </c>
      <c r="L90">
        <v>60</v>
      </c>
      <c r="M90">
        <v>0.88500000000000001</v>
      </c>
      <c r="N90">
        <v>115.985</v>
      </c>
      <c r="O90">
        <v>9.0399999999999994E-3</v>
      </c>
      <c r="P90">
        <v>0</v>
      </c>
      <c r="Q90">
        <v>20</v>
      </c>
      <c r="R90" t="s">
        <v>122</v>
      </c>
      <c r="S90" t="s">
        <v>123</v>
      </c>
      <c r="T90">
        <f>I90*-0.5+M90*0.5</f>
        <v>0.27100000000000002</v>
      </c>
      <c r="U90">
        <f>I90*0.7+M90*-0.25+D90*-0.25</f>
        <v>-6.2149999999999997E-2</v>
      </c>
      <c r="V90">
        <f>J90*0.5+I90*-0.5</f>
        <v>-0.16986500000000002</v>
      </c>
      <c r="W90">
        <f>M90*0.5+G90*0.25+I90*0.25</f>
        <v>0.65849999999999997</v>
      </c>
    </row>
    <row r="91" spans="1:23" x14ac:dyDescent="0.2">
      <c r="A91">
        <v>5.67E-2</v>
      </c>
      <c r="B91">
        <v>11</v>
      </c>
      <c r="C91">
        <v>4</v>
      </c>
      <c r="D91">
        <v>7.46E-2</v>
      </c>
      <c r="E91">
        <v>-6.7649999999999997</v>
      </c>
      <c r="F91">
        <v>287907</v>
      </c>
      <c r="G91">
        <v>0.52300000000000002</v>
      </c>
      <c r="H91">
        <v>261</v>
      </c>
      <c r="I91">
        <v>0.35599999999999998</v>
      </c>
      <c r="J91">
        <v>4.9100000000000003E-3</v>
      </c>
      <c r="K91" t="s">
        <v>115</v>
      </c>
      <c r="L91">
        <v>19</v>
      </c>
      <c r="M91">
        <v>0.89800000000000002</v>
      </c>
      <c r="N91">
        <v>123.08499999999999</v>
      </c>
      <c r="O91">
        <v>3.4500000000000003E-2</v>
      </c>
      <c r="P91">
        <v>0</v>
      </c>
      <c r="Q91">
        <v>19</v>
      </c>
      <c r="R91" t="s">
        <v>116</v>
      </c>
      <c r="S91" t="s">
        <v>117</v>
      </c>
      <c r="T91">
        <f>I91*-0.5+M91*0.5</f>
        <v>0.27100000000000002</v>
      </c>
      <c r="U91">
        <f>I91*0.7+M91*-0.25+D91*-0.25</f>
        <v>6.0499999999999721E-3</v>
      </c>
      <c r="V91">
        <f>J91*0.5+I91*-0.5</f>
        <v>-0.17554499999999998</v>
      </c>
      <c r="W91">
        <f>M91*0.5+G91*0.25+I91*0.25</f>
        <v>0.66874999999999996</v>
      </c>
    </row>
    <row r="92" spans="1:23" x14ac:dyDescent="0.2">
      <c r="A92">
        <v>0.115</v>
      </c>
      <c r="B92">
        <v>1</v>
      </c>
      <c r="C92">
        <v>4</v>
      </c>
      <c r="D92">
        <v>0.14399999999999999</v>
      </c>
      <c r="E92">
        <v>-5.09</v>
      </c>
      <c r="F92">
        <v>257373</v>
      </c>
      <c r="G92">
        <v>0.31</v>
      </c>
      <c r="H92">
        <v>255</v>
      </c>
      <c r="I92">
        <v>0.33300000000000002</v>
      </c>
      <c r="J92">
        <v>7.0300000000000001E-2</v>
      </c>
      <c r="K92" t="s">
        <v>218</v>
      </c>
      <c r="L92">
        <v>4</v>
      </c>
      <c r="M92">
        <v>0.874</v>
      </c>
      <c r="N92">
        <v>163.86</v>
      </c>
      <c r="O92">
        <v>0</v>
      </c>
      <c r="P92">
        <v>1</v>
      </c>
      <c r="Q92">
        <v>17</v>
      </c>
      <c r="R92" t="s">
        <v>219</v>
      </c>
      <c r="S92" t="s">
        <v>220</v>
      </c>
      <c r="T92">
        <f>I92*-0.5+M92*0.5</f>
        <v>0.27049999999999996</v>
      </c>
      <c r="U92">
        <f>I92*0.7+M92*-0.25+D92*-0.25</f>
        <v>-2.1399999999999995E-2</v>
      </c>
      <c r="V92">
        <f>J92*0.5+I92*-0.5</f>
        <v>-0.13135000000000002</v>
      </c>
      <c r="W92">
        <f>M92*0.5+G92*0.25+I92*0.25</f>
        <v>0.59775</v>
      </c>
    </row>
    <row r="93" spans="1:23" x14ac:dyDescent="0.2">
      <c r="A93">
        <v>8.6699999999999999E-2</v>
      </c>
      <c r="B93">
        <v>2</v>
      </c>
      <c r="C93">
        <v>4</v>
      </c>
      <c r="D93">
        <v>8.6999999999999994E-2</v>
      </c>
      <c r="E93">
        <v>-5.6769999999999996</v>
      </c>
      <c r="F93">
        <v>231267</v>
      </c>
      <c r="G93">
        <v>0.57899999999999996</v>
      </c>
      <c r="H93">
        <v>197</v>
      </c>
      <c r="I93">
        <v>0.41699999999999998</v>
      </c>
      <c r="J93">
        <v>5.1900000000000002E-2</v>
      </c>
      <c r="K93" t="s">
        <v>142</v>
      </c>
      <c r="L93">
        <v>9</v>
      </c>
      <c r="M93">
        <v>0.95799999999999996</v>
      </c>
      <c r="N93">
        <v>100.05800000000001</v>
      </c>
      <c r="O93">
        <v>0</v>
      </c>
      <c r="P93">
        <v>1</v>
      </c>
      <c r="Q93">
        <v>17</v>
      </c>
      <c r="R93" t="s">
        <v>143</v>
      </c>
      <c r="S93" t="s">
        <v>144</v>
      </c>
      <c r="T93">
        <f>I93*-0.5+M93*0.5</f>
        <v>0.27049999999999996</v>
      </c>
      <c r="U93">
        <f>I93*0.7+M93*-0.25+D93*-0.25</f>
        <v>3.0650000000000004E-2</v>
      </c>
      <c r="V93">
        <f>J93*0.5+I93*-0.5</f>
        <v>-0.18254999999999999</v>
      </c>
      <c r="W93">
        <f>M93*0.5+G93*0.25+I93*0.25</f>
        <v>0.72799999999999998</v>
      </c>
    </row>
    <row r="94" spans="1:23" x14ac:dyDescent="0.2">
      <c r="A94">
        <v>6.88E-2</v>
      </c>
      <c r="B94">
        <v>9</v>
      </c>
      <c r="C94">
        <v>4</v>
      </c>
      <c r="D94">
        <v>0.35</v>
      </c>
      <c r="E94">
        <v>-8.2739999999999991</v>
      </c>
      <c r="F94">
        <v>432147</v>
      </c>
      <c r="G94">
        <v>0.78600000000000003</v>
      </c>
      <c r="H94">
        <v>218</v>
      </c>
      <c r="I94">
        <v>0.314</v>
      </c>
      <c r="J94">
        <v>4.99E-2</v>
      </c>
      <c r="K94" t="s">
        <v>202</v>
      </c>
      <c r="L94">
        <v>11</v>
      </c>
      <c r="M94">
        <v>0.85299999999999998</v>
      </c>
      <c r="N94">
        <v>126.99</v>
      </c>
      <c r="O94">
        <v>8.72E-2</v>
      </c>
      <c r="P94">
        <v>0</v>
      </c>
      <c r="Q94">
        <v>5</v>
      </c>
      <c r="R94" t="s">
        <v>203</v>
      </c>
      <c r="S94" t="s">
        <v>204</v>
      </c>
      <c r="T94">
        <f>I94*-0.5+M94*0.5</f>
        <v>0.26949999999999996</v>
      </c>
      <c r="U94">
        <f>I94*0.7+M94*-0.25+D94*-0.25</f>
        <v>-8.0949999999999994E-2</v>
      </c>
      <c r="V94">
        <f>J94*0.5+I94*-0.5</f>
        <v>-0.13205</v>
      </c>
      <c r="W94">
        <f>M94*0.5+G94*0.25+I94*0.25</f>
        <v>0.70150000000000001</v>
      </c>
    </row>
    <row r="95" spans="1:23" x14ac:dyDescent="0.2">
      <c r="A95">
        <v>4.4900000000000002E-2</v>
      </c>
      <c r="B95">
        <v>10</v>
      </c>
      <c r="C95">
        <v>4</v>
      </c>
      <c r="D95">
        <v>9.74E-2</v>
      </c>
      <c r="E95">
        <v>-5.4459999999999997</v>
      </c>
      <c r="F95">
        <v>217907</v>
      </c>
      <c r="G95">
        <v>0.749</v>
      </c>
      <c r="H95">
        <v>211</v>
      </c>
      <c r="I95">
        <v>0.34200000000000003</v>
      </c>
      <c r="J95">
        <v>7.5500000000000003E-3</v>
      </c>
      <c r="K95" t="s">
        <v>139</v>
      </c>
      <c r="L95">
        <v>59</v>
      </c>
      <c r="M95">
        <v>0.88100000000000001</v>
      </c>
      <c r="N95">
        <v>120.03400000000001</v>
      </c>
      <c r="O95" s="1">
        <v>7.8100000000000001E-5</v>
      </c>
      <c r="P95">
        <v>0</v>
      </c>
      <c r="Q95">
        <v>12</v>
      </c>
      <c r="R95" t="s">
        <v>140</v>
      </c>
      <c r="S95" t="s">
        <v>141</v>
      </c>
      <c r="T95">
        <f>I95*-0.5+M95*0.5</f>
        <v>0.26949999999999996</v>
      </c>
      <c r="U95">
        <f>I95*0.7+M95*-0.25+D95*-0.25</f>
        <v>-5.1999999999999998E-3</v>
      </c>
      <c r="V95">
        <f>J95*0.5+I95*-0.5</f>
        <v>-0.16722500000000001</v>
      </c>
      <c r="W95">
        <f>M95*0.5+G95*0.25+I95*0.25</f>
        <v>0.71325000000000005</v>
      </c>
    </row>
    <row r="96" spans="1:23" x14ac:dyDescent="0.2">
      <c r="A96">
        <v>4.1099999999999998E-2</v>
      </c>
      <c r="B96">
        <v>9</v>
      </c>
      <c r="C96">
        <v>4</v>
      </c>
      <c r="D96">
        <v>7.46E-2</v>
      </c>
      <c r="E96">
        <v>-4.617</v>
      </c>
      <c r="F96">
        <v>239760</v>
      </c>
      <c r="G96">
        <v>0.53200000000000003</v>
      </c>
      <c r="H96">
        <v>239</v>
      </c>
      <c r="I96">
        <v>7.1300000000000002E-2</v>
      </c>
      <c r="J96">
        <v>0.441</v>
      </c>
      <c r="K96" t="s">
        <v>1879</v>
      </c>
      <c r="L96">
        <v>31</v>
      </c>
      <c r="M96">
        <v>0.61</v>
      </c>
      <c r="N96">
        <v>119.999</v>
      </c>
      <c r="O96">
        <v>0</v>
      </c>
      <c r="P96">
        <v>1</v>
      </c>
      <c r="Q96">
        <v>20</v>
      </c>
      <c r="R96" t="s">
        <v>1880</v>
      </c>
      <c r="S96" t="s">
        <v>1881</v>
      </c>
      <c r="T96">
        <f>I96*-0.5+M96*0.5</f>
        <v>0.26934999999999998</v>
      </c>
      <c r="U96">
        <f>I96*0.7+M96*-0.25+D96*-0.25</f>
        <v>-0.12124</v>
      </c>
      <c r="V96">
        <f>J96*0.5+I96*-0.5</f>
        <v>0.18485000000000001</v>
      </c>
      <c r="W96">
        <f>M96*0.5+G96*0.25+I96*0.25</f>
        <v>0.45582499999999998</v>
      </c>
    </row>
    <row r="97" spans="1:23" x14ac:dyDescent="0.2">
      <c r="A97">
        <v>5.4399999999999997E-2</v>
      </c>
      <c r="B97">
        <v>10</v>
      </c>
      <c r="C97">
        <v>4</v>
      </c>
      <c r="D97">
        <v>0.18099999999999999</v>
      </c>
      <c r="E97">
        <v>-4.5919999999999996</v>
      </c>
      <c r="F97">
        <v>218520</v>
      </c>
      <c r="G97">
        <v>0.63</v>
      </c>
      <c r="H97">
        <v>214</v>
      </c>
      <c r="I97">
        <v>0.35599999999999998</v>
      </c>
      <c r="J97">
        <v>0.255</v>
      </c>
      <c r="K97" t="s">
        <v>642</v>
      </c>
      <c r="L97">
        <v>41</v>
      </c>
      <c r="M97">
        <v>0.89400000000000002</v>
      </c>
      <c r="N97">
        <v>142.05099999999999</v>
      </c>
      <c r="O97">
        <v>0</v>
      </c>
      <c r="P97">
        <v>1</v>
      </c>
      <c r="Q97">
        <v>11</v>
      </c>
      <c r="R97" t="s">
        <v>643</v>
      </c>
      <c r="S97" t="s">
        <v>644</v>
      </c>
      <c r="T97">
        <f>I97*-0.5+M97*0.5</f>
        <v>0.26900000000000002</v>
      </c>
      <c r="U97">
        <f>I97*0.7+M97*-0.25+D97*-0.25</f>
        <v>-1.9550000000000026E-2</v>
      </c>
      <c r="V97">
        <f>J97*0.5+I97*-0.5</f>
        <v>-5.0499999999999989E-2</v>
      </c>
      <c r="W97">
        <f>M97*0.5+G97*0.25+I97*0.25</f>
        <v>0.69350000000000001</v>
      </c>
    </row>
    <row r="98" spans="1:23" x14ac:dyDescent="0.2">
      <c r="A98">
        <v>0.11</v>
      </c>
      <c r="B98">
        <v>9</v>
      </c>
      <c r="C98">
        <v>4</v>
      </c>
      <c r="D98">
        <v>0.10199999999999999</v>
      </c>
      <c r="E98">
        <v>-5.0149999999999997</v>
      </c>
      <c r="F98">
        <v>243933</v>
      </c>
      <c r="G98">
        <v>0.55300000000000005</v>
      </c>
      <c r="H98">
        <v>240</v>
      </c>
      <c r="I98">
        <v>0.40200000000000002</v>
      </c>
      <c r="J98">
        <v>3.3800000000000002E-3</v>
      </c>
      <c r="K98" t="s">
        <v>94</v>
      </c>
      <c r="L98">
        <v>57</v>
      </c>
      <c r="M98">
        <v>0.93600000000000005</v>
      </c>
      <c r="N98">
        <v>144.88399999999999</v>
      </c>
      <c r="O98" s="1">
        <v>1.35E-6</v>
      </c>
      <c r="P98">
        <v>1</v>
      </c>
      <c r="Q98">
        <v>18</v>
      </c>
      <c r="R98" t="s">
        <v>95</v>
      </c>
      <c r="S98" t="s">
        <v>96</v>
      </c>
      <c r="T98">
        <f>I98*-0.5+M98*0.5</f>
        <v>0.26700000000000002</v>
      </c>
      <c r="U98">
        <f>I98*0.7+M98*-0.25+D98*-0.25</f>
        <v>2.1899999999999972E-2</v>
      </c>
      <c r="V98">
        <f>J98*0.5+I98*-0.5</f>
        <v>-0.19931000000000001</v>
      </c>
      <c r="W98">
        <f>M98*0.5+G98*0.25+I98*0.25</f>
        <v>0.7067500000000001</v>
      </c>
    </row>
    <row r="99" spans="1:23" x14ac:dyDescent="0.2">
      <c r="A99">
        <v>5.2600000000000001E-2</v>
      </c>
      <c r="B99">
        <v>6</v>
      </c>
      <c r="C99">
        <v>3</v>
      </c>
      <c r="D99">
        <v>0.23300000000000001</v>
      </c>
      <c r="E99">
        <v>-3.3050000000000002</v>
      </c>
      <c r="F99">
        <v>209120</v>
      </c>
      <c r="G99">
        <v>0.58499999999999996</v>
      </c>
      <c r="H99">
        <v>208</v>
      </c>
      <c r="I99">
        <v>0.38500000000000001</v>
      </c>
      <c r="J99">
        <v>6.7799999999999999E-2</v>
      </c>
      <c r="K99" t="s">
        <v>199</v>
      </c>
      <c r="L99">
        <v>56</v>
      </c>
      <c r="M99">
        <v>0.91200000000000003</v>
      </c>
      <c r="N99">
        <v>108.761</v>
      </c>
      <c r="O99">
        <v>0</v>
      </c>
      <c r="P99">
        <v>1</v>
      </c>
      <c r="Q99">
        <v>17</v>
      </c>
      <c r="R99" t="s">
        <v>200</v>
      </c>
      <c r="S99" t="s">
        <v>201</v>
      </c>
      <c r="T99">
        <f>I99*-0.5+M99*0.5</f>
        <v>0.26350000000000001</v>
      </c>
      <c r="U99">
        <f>I99*0.7+M99*-0.25+D99*-0.25</f>
        <v>-1.675000000000005E-2</v>
      </c>
      <c r="V99">
        <f>J99*0.5+I99*-0.5</f>
        <v>-0.15860000000000002</v>
      </c>
      <c r="W99">
        <f>M99*0.5+G99*0.25+I99*0.25</f>
        <v>0.6984999999999999</v>
      </c>
    </row>
    <row r="100" spans="1:23" x14ac:dyDescent="0.2">
      <c r="A100">
        <v>6.3399999999999998E-2</v>
      </c>
      <c r="B100">
        <v>1</v>
      </c>
      <c r="C100">
        <v>4</v>
      </c>
      <c r="D100">
        <v>0.17399999999999999</v>
      </c>
      <c r="E100">
        <v>-4.3440000000000003</v>
      </c>
      <c r="F100">
        <v>231200</v>
      </c>
      <c r="G100">
        <v>0.36299999999999999</v>
      </c>
      <c r="H100">
        <v>230</v>
      </c>
      <c r="I100">
        <v>0.38900000000000001</v>
      </c>
      <c r="J100">
        <v>9.4400000000000005E-3</v>
      </c>
      <c r="K100" t="s">
        <v>133</v>
      </c>
      <c r="L100">
        <v>12</v>
      </c>
      <c r="M100">
        <v>0.91600000000000004</v>
      </c>
      <c r="N100">
        <v>182.131</v>
      </c>
      <c r="O100">
        <v>0</v>
      </c>
      <c r="P100">
        <v>1</v>
      </c>
      <c r="Q100">
        <v>19</v>
      </c>
      <c r="R100" t="s">
        <v>134</v>
      </c>
      <c r="S100" t="s">
        <v>135</v>
      </c>
      <c r="T100">
        <f>I100*-0.5+M100*0.5</f>
        <v>0.26350000000000001</v>
      </c>
      <c r="U100">
        <f>I100*0.7+M100*-0.25+D100*-0.25</f>
        <v>-2.0000000000001961E-4</v>
      </c>
      <c r="V100">
        <f>J100*0.5+I100*-0.5</f>
        <v>-0.18978</v>
      </c>
      <c r="W100">
        <f>M100*0.5+G100*0.25+I100*0.25</f>
        <v>0.64600000000000013</v>
      </c>
    </row>
    <row r="101" spans="1:23" x14ac:dyDescent="0.2">
      <c r="A101">
        <v>4.6399999999999997E-2</v>
      </c>
      <c r="B101">
        <v>7</v>
      </c>
      <c r="C101">
        <v>4</v>
      </c>
      <c r="D101">
        <v>8.2000000000000003E-2</v>
      </c>
      <c r="E101">
        <v>-4.1879999999999997</v>
      </c>
      <c r="F101">
        <v>251987</v>
      </c>
      <c r="G101">
        <v>0.84499999999999997</v>
      </c>
      <c r="H101">
        <v>251</v>
      </c>
      <c r="I101">
        <v>0.19600000000000001</v>
      </c>
      <c r="J101">
        <v>8.6099999999999996E-2</v>
      </c>
      <c r="K101" t="s">
        <v>500</v>
      </c>
      <c r="L101">
        <v>52</v>
      </c>
      <c r="M101">
        <v>0.72099999999999997</v>
      </c>
      <c r="N101">
        <v>122.958</v>
      </c>
      <c r="O101">
        <v>8.5900000000000004E-3</v>
      </c>
      <c r="P101">
        <v>0</v>
      </c>
      <c r="Q101">
        <v>13</v>
      </c>
      <c r="R101" t="s">
        <v>501</v>
      </c>
      <c r="S101" t="s">
        <v>502</v>
      </c>
      <c r="T101">
        <f>I101*-0.5+M101*0.5</f>
        <v>0.26249999999999996</v>
      </c>
      <c r="U101">
        <f>I101*0.7+M101*-0.25+D101*-0.25</f>
        <v>-6.3550000000000009E-2</v>
      </c>
      <c r="V101">
        <f>J101*0.5+I101*-0.5</f>
        <v>-5.4950000000000006E-2</v>
      </c>
      <c r="W101">
        <f>M101*0.5+G101*0.25+I101*0.25</f>
        <v>0.62075000000000002</v>
      </c>
    </row>
    <row r="102" spans="1:23" x14ac:dyDescent="0.2">
      <c r="A102">
        <v>7.9500000000000001E-2</v>
      </c>
      <c r="B102">
        <v>11</v>
      </c>
      <c r="C102">
        <v>4</v>
      </c>
      <c r="D102">
        <v>0.112</v>
      </c>
      <c r="E102">
        <v>-4.7030000000000003</v>
      </c>
      <c r="F102">
        <v>240653</v>
      </c>
      <c r="G102">
        <v>0.67300000000000004</v>
      </c>
      <c r="H102">
        <v>239</v>
      </c>
      <c r="I102">
        <v>0.21099999999999999</v>
      </c>
      <c r="J102">
        <v>0.26700000000000002</v>
      </c>
      <c r="K102" t="s">
        <v>1009</v>
      </c>
      <c r="L102">
        <v>37</v>
      </c>
      <c r="M102">
        <v>0.73399999999999999</v>
      </c>
      <c r="N102">
        <v>148.09299999999999</v>
      </c>
      <c r="O102">
        <v>0</v>
      </c>
      <c r="P102">
        <v>1</v>
      </c>
      <c r="Q102">
        <v>19</v>
      </c>
      <c r="R102" t="s">
        <v>1010</v>
      </c>
      <c r="S102" t="s">
        <v>1011</v>
      </c>
      <c r="T102">
        <f>I102*-0.5+M102*0.5</f>
        <v>0.26150000000000001</v>
      </c>
      <c r="U102">
        <f>I102*0.7+M102*-0.25+D102*-0.25</f>
        <v>-6.3799999999999996E-2</v>
      </c>
      <c r="V102">
        <f>J102*0.5+I102*-0.5</f>
        <v>2.8000000000000011E-2</v>
      </c>
      <c r="W102">
        <f>M102*0.5+G102*0.25+I102*0.25</f>
        <v>0.58799999999999997</v>
      </c>
    </row>
    <row r="103" spans="1:23" x14ac:dyDescent="0.2">
      <c r="A103">
        <v>4.0500000000000001E-2</v>
      </c>
      <c r="B103">
        <v>11</v>
      </c>
      <c r="C103">
        <v>4</v>
      </c>
      <c r="D103">
        <v>0.16500000000000001</v>
      </c>
      <c r="E103">
        <v>-4.8490000000000002</v>
      </c>
      <c r="F103">
        <v>208360</v>
      </c>
      <c r="G103">
        <v>0.48699999999999999</v>
      </c>
      <c r="H103">
        <v>207</v>
      </c>
      <c r="I103">
        <v>0.23799999999999999</v>
      </c>
      <c r="J103">
        <v>2.7300000000000001E-2</v>
      </c>
      <c r="K103" t="s">
        <v>272</v>
      </c>
      <c r="L103">
        <v>14</v>
      </c>
      <c r="M103">
        <v>0.75900000000000001</v>
      </c>
      <c r="N103">
        <v>80.957999999999998</v>
      </c>
      <c r="O103">
        <v>0</v>
      </c>
      <c r="P103">
        <v>1</v>
      </c>
      <c r="Q103">
        <v>15</v>
      </c>
      <c r="R103" t="s">
        <v>273</v>
      </c>
      <c r="S103" t="s">
        <v>274</v>
      </c>
      <c r="T103">
        <f>I103*-0.5+M103*0.5</f>
        <v>0.26050000000000001</v>
      </c>
      <c r="U103">
        <f>I103*0.7+M103*-0.25+D103*-0.25</f>
        <v>-6.4400000000000041E-2</v>
      </c>
      <c r="V103">
        <f>J103*0.5+I103*-0.5</f>
        <v>-0.10535</v>
      </c>
      <c r="W103">
        <f>M103*0.5+G103*0.25+I103*0.25</f>
        <v>0.56074999999999997</v>
      </c>
    </row>
    <row r="104" spans="1:23" x14ac:dyDescent="0.2">
      <c r="A104">
        <v>3.3500000000000002E-2</v>
      </c>
      <c r="B104">
        <v>0</v>
      </c>
      <c r="C104">
        <v>4</v>
      </c>
      <c r="D104">
        <v>0.159</v>
      </c>
      <c r="E104">
        <v>-5.8840000000000003</v>
      </c>
      <c r="F104">
        <v>209227</v>
      </c>
      <c r="G104">
        <v>0.59199999999999997</v>
      </c>
      <c r="H104">
        <v>208</v>
      </c>
      <c r="I104">
        <v>0.27100000000000002</v>
      </c>
      <c r="J104">
        <v>2.1499999999999998E-2</v>
      </c>
      <c r="K104" t="s">
        <v>250</v>
      </c>
      <c r="L104">
        <v>45</v>
      </c>
      <c r="M104">
        <v>0.79200000000000004</v>
      </c>
      <c r="N104">
        <v>121.001</v>
      </c>
      <c r="O104">
        <v>0</v>
      </c>
      <c r="P104">
        <v>1</v>
      </c>
      <c r="Q104">
        <v>9</v>
      </c>
      <c r="R104" t="s">
        <v>251</v>
      </c>
      <c r="S104" t="s">
        <v>176</v>
      </c>
      <c r="T104">
        <f>I104*-0.5+M104*0.5</f>
        <v>0.26050000000000001</v>
      </c>
      <c r="U104">
        <f>I104*0.7+M104*-0.25+D104*-0.25</f>
        <v>-4.8050000000000002E-2</v>
      </c>
      <c r="V104">
        <f>J104*0.5+I104*-0.5</f>
        <v>-0.12475000000000001</v>
      </c>
      <c r="W104">
        <f>M104*0.5+G104*0.25+I104*0.25</f>
        <v>0.61175000000000002</v>
      </c>
    </row>
    <row r="105" spans="1:23" x14ac:dyDescent="0.2">
      <c r="A105">
        <v>3.7999999999999999E-2</v>
      </c>
      <c r="B105">
        <v>0</v>
      </c>
      <c r="C105">
        <v>4</v>
      </c>
      <c r="D105">
        <v>9.4899999999999998E-2</v>
      </c>
      <c r="E105">
        <v>-5.4610000000000003</v>
      </c>
      <c r="F105">
        <v>202027</v>
      </c>
      <c r="G105">
        <v>0.45700000000000002</v>
      </c>
      <c r="H105">
        <v>201</v>
      </c>
      <c r="I105">
        <v>0.40600000000000003</v>
      </c>
      <c r="J105">
        <v>4.8700000000000002E-4</v>
      </c>
      <c r="K105" t="s">
        <v>118</v>
      </c>
      <c r="L105">
        <v>6</v>
      </c>
      <c r="M105">
        <v>0.92600000000000005</v>
      </c>
      <c r="N105">
        <v>93.963999999999999</v>
      </c>
      <c r="O105" s="1">
        <v>5.6900000000000001E-5</v>
      </c>
      <c r="P105">
        <v>1</v>
      </c>
      <c r="Q105">
        <v>12</v>
      </c>
      <c r="R105" t="s">
        <v>119</v>
      </c>
      <c r="S105" t="s">
        <v>120</v>
      </c>
      <c r="T105">
        <f>I105*-0.5+M105*0.5</f>
        <v>0.26</v>
      </c>
      <c r="U105">
        <f>I105*0.7+M105*-0.25+D105*-0.25</f>
        <v>2.8974999999999997E-2</v>
      </c>
      <c r="V105">
        <f>J105*0.5+I105*-0.5</f>
        <v>-0.20275650000000001</v>
      </c>
      <c r="W105">
        <f>M105*0.5+G105*0.25+I105*0.25</f>
        <v>0.67875000000000008</v>
      </c>
    </row>
    <row r="106" spans="1:23" x14ac:dyDescent="0.2">
      <c r="A106">
        <v>9.6299999999999997E-2</v>
      </c>
      <c r="B106">
        <v>1</v>
      </c>
      <c r="C106">
        <v>4</v>
      </c>
      <c r="D106">
        <v>0.10199999999999999</v>
      </c>
      <c r="E106">
        <v>-5.4480000000000004</v>
      </c>
      <c r="F106">
        <v>214333</v>
      </c>
      <c r="G106">
        <v>0.55800000000000005</v>
      </c>
      <c r="H106">
        <v>212</v>
      </c>
      <c r="I106">
        <v>0.26600000000000001</v>
      </c>
      <c r="J106">
        <v>6.5700000000000003E-3</v>
      </c>
      <c r="K106" t="s">
        <v>236</v>
      </c>
      <c r="L106">
        <v>46</v>
      </c>
      <c r="M106">
        <v>0.78100000000000003</v>
      </c>
      <c r="N106">
        <v>126.02500000000001</v>
      </c>
      <c r="O106">
        <v>1.4400000000000001E-3</v>
      </c>
      <c r="P106">
        <v>0</v>
      </c>
      <c r="Q106">
        <v>15</v>
      </c>
      <c r="R106" t="s">
        <v>237</v>
      </c>
      <c r="S106" t="s">
        <v>238</v>
      </c>
      <c r="T106">
        <f>I106*-0.5+M106*0.5</f>
        <v>0.25750000000000001</v>
      </c>
      <c r="U106">
        <f>I106*0.7+M106*-0.25+D106*-0.25</f>
        <v>-3.4549999999999997E-2</v>
      </c>
      <c r="V106">
        <f>J106*0.5+I106*-0.5</f>
        <v>-0.129715</v>
      </c>
      <c r="W106">
        <f>M106*0.5+G106*0.25+I106*0.25</f>
        <v>0.59650000000000003</v>
      </c>
    </row>
    <row r="107" spans="1:23" x14ac:dyDescent="0.2">
      <c r="A107">
        <v>6.5500000000000003E-2</v>
      </c>
      <c r="B107">
        <v>0</v>
      </c>
      <c r="C107">
        <v>4</v>
      </c>
      <c r="D107">
        <v>0.14399999999999999</v>
      </c>
      <c r="E107">
        <v>-3.4340000000000002</v>
      </c>
      <c r="F107">
        <v>229149</v>
      </c>
      <c r="G107">
        <v>0.52400000000000002</v>
      </c>
      <c r="H107">
        <v>216</v>
      </c>
      <c r="I107">
        <v>0.34899999999999998</v>
      </c>
      <c r="J107">
        <v>3.8800000000000001E-2</v>
      </c>
      <c r="K107" t="s">
        <v>215</v>
      </c>
      <c r="L107">
        <v>50</v>
      </c>
      <c r="M107">
        <v>0.86399999999999999</v>
      </c>
      <c r="N107">
        <v>126.95399999999999</v>
      </c>
      <c r="O107">
        <v>0</v>
      </c>
      <c r="P107">
        <v>1</v>
      </c>
      <c r="Q107">
        <v>18</v>
      </c>
      <c r="R107" t="s">
        <v>216</v>
      </c>
      <c r="S107" t="s">
        <v>217</v>
      </c>
      <c r="T107">
        <f>I107*-0.5+M107*0.5</f>
        <v>0.25750000000000001</v>
      </c>
      <c r="U107">
        <f>I107*0.7+M107*-0.25+D107*-0.25</f>
        <v>-7.7000000000000332E-3</v>
      </c>
      <c r="V107">
        <f>J107*0.5+I107*-0.5</f>
        <v>-0.15509999999999999</v>
      </c>
      <c r="W107">
        <f>M107*0.5+G107*0.25+I107*0.25</f>
        <v>0.65024999999999999</v>
      </c>
    </row>
    <row r="108" spans="1:23" x14ac:dyDescent="0.2">
      <c r="A108">
        <v>3.6400000000000002E-2</v>
      </c>
      <c r="B108">
        <v>4</v>
      </c>
      <c r="C108">
        <v>4</v>
      </c>
      <c r="D108">
        <v>0.33100000000000002</v>
      </c>
      <c r="E108">
        <v>-4.4589999999999996</v>
      </c>
      <c r="F108">
        <v>246440</v>
      </c>
      <c r="G108">
        <v>0.43099999999999999</v>
      </c>
      <c r="H108">
        <v>236</v>
      </c>
      <c r="I108">
        <v>0.28999999999999998</v>
      </c>
      <c r="J108">
        <v>1.67E-3</v>
      </c>
      <c r="K108" t="s">
        <v>205</v>
      </c>
      <c r="L108">
        <v>30</v>
      </c>
      <c r="M108">
        <v>0.80300000000000005</v>
      </c>
      <c r="N108">
        <v>147.048</v>
      </c>
      <c r="O108">
        <v>0</v>
      </c>
      <c r="P108">
        <v>1</v>
      </c>
      <c r="Q108">
        <v>17</v>
      </c>
      <c r="R108" t="s">
        <v>206</v>
      </c>
      <c r="S108" t="s">
        <v>207</v>
      </c>
      <c r="T108">
        <f>I108*-0.5+M108*0.5</f>
        <v>0.25650000000000006</v>
      </c>
      <c r="U108">
        <f>I108*0.7+M108*-0.25+D108*-0.25</f>
        <v>-8.050000000000003E-2</v>
      </c>
      <c r="V108">
        <f>J108*0.5+I108*-0.5</f>
        <v>-0.14416499999999999</v>
      </c>
      <c r="W108">
        <f>M108*0.5+G108*0.25+I108*0.25</f>
        <v>0.58174999999999999</v>
      </c>
    </row>
    <row r="109" spans="1:23" x14ac:dyDescent="0.2">
      <c r="A109">
        <v>0.27</v>
      </c>
      <c r="B109">
        <v>0</v>
      </c>
      <c r="C109">
        <v>4</v>
      </c>
      <c r="D109">
        <v>0.11899999999999999</v>
      </c>
      <c r="E109">
        <v>-8.1829999999999998</v>
      </c>
      <c r="F109">
        <v>303813</v>
      </c>
      <c r="G109">
        <v>0.65100000000000002</v>
      </c>
      <c r="H109">
        <v>302</v>
      </c>
      <c r="I109">
        <v>0.158</v>
      </c>
      <c r="J109">
        <v>0.34300000000000003</v>
      </c>
      <c r="K109" t="s">
        <v>1490</v>
      </c>
      <c r="L109">
        <v>40</v>
      </c>
      <c r="M109">
        <v>0.67100000000000004</v>
      </c>
      <c r="N109">
        <v>90.135000000000005</v>
      </c>
      <c r="O109">
        <v>0</v>
      </c>
      <c r="P109">
        <v>1</v>
      </c>
      <c r="Q109">
        <v>9</v>
      </c>
      <c r="R109" t="s">
        <v>1491</v>
      </c>
      <c r="S109" t="s">
        <v>1492</v>
      </c>
      <c r="T109">
        <f>I109*-0.5+M109*0.5</f>
        <v>0.25650000000000001</v>
      </c>
      <c r="U109">
        <f>I109*0.7+M109*-0.25+D109*-0.25</f>
        <v>-8.6900000000000019E-2</v>
      </c>
      <c r="V109">
        <f>J109*0.5+I109*-0.5</f>
        <v>9.2500000000000013E-2</v>
      </c>
      <c r="W109">
        <f>M109*0.5+G109*0.25+I109*0.25</f>
        <v>0.53775000000000006</v>
      </c>
    </row>
    <row r="110" spans="1:23" x14ac:dyDescent="0.2">
      <c r="A110">
        <v>0.13700000000000001</v>
      </c>
      <c r="B110">
        <v>1</v>
      </c>
      <c r="C110">
        <v>4</v>
      </c>
      <c r="D110">
        <v>7.7200000000000005E-2</v>
      </c>
      <c r="E110">
        <v>-5.1029999999999998</v>
      </c>
      <c r="F110">
        <v>277013</v>
      </c>
      <c r="G110">
        <v>0.64400000000000002</v>
      </c>
      <c r="H110">
        <v>274</v>
      </c>
      <c r="I110">
        <v>0.22600000000000001</v>
      </c>
      <c r="J110">
        <v>3.1099999999999999E-2</v>
      </c>
      <c r="K110" t="s">
        <v>302</v>
      </c>
      <c r="L110">
        <v>36</v>
      </c>
      <c r="M110">
        <v>0.73899999999999999</v>
      </c>
      <c r="N110">
        <v>74.153999999999996</v>
      </c>
      <c r="O110">
        <v>0</v>
      </c>
      <c r="P110">
        <v>1</v>
      </c>
      <c r="Q110">
        <v>7</v>
      </c>
      <c r="R110" t="s">
        <v>303</v>
      </c>
      <c r="S110" t="s">
        <v>304</v>
      </c>
      <c r="T110">
        <f>I110*-0.5+M110*0.5</f>
        <v>0.25650000000000001</v>
      </c>
      <c r="U110">
        <f>I110*0.7+M110*-0.25+D110*-0.25</f>
        <v>-4.5849999999999988E-2</v>
      </c>
      <c r="V110">
        <f>J110*0.5+I110*-0.5</f>
        <v>-9.7450000000000009E-2</v>
      </c>
      <c r="W110">
        <f>M110*0.5+G110*0.25+I110*0.25</f>
        <v>0.58699999999999997</v>
      </c>
    </row>
    <row r="111" spans="1:23" x14ac:dyDescent="0.2">
      <c r="A111">
        <v>3.1800000000000002E-2</v>
      </c>
      <c r="B111">
        <v>4</v>
      </c>
      <c r="C111">
        <v>4</v>
      </c>
      <c r="D111">
        <v>8.48E-2</v>
      </c>
      <c r="E111">
        <v>-6.3250000000000002</v>
      </c>
      <c r="F111">
        <v>232640</v>
      </c>
      <c r="G111">
        <v>0.443</v>
      </c>
      <c r="H111">
        <v>231</v>
      </c>
      <c r="I111">
        <v>0.17699999999999999</v>
      </c>
      <c r="J111">
        <v>8.3799999999999999E-2</v>
      </c>
      <c r="K111" t="s">
        <v>558</v>
      </c>
      <c r="L111">
        <v>23</v>
      </c>
      <c r="M111">
        <v>0.68500000000000005</v>
      </c>
      <c r="N111">
        <v>143.905</v>
      </c>
      <c r="O111">
        <v>0</v>
      </c>
      <c r="P111">
        <v>1</v>
      </c>
      <c r="Q111">
        <v>14</v>
      </c>
      <c r="R111" t="s">
        <v>559</v>
      </c>
      <c r="S111" t="s">
        <v>560</v>
      </c>
      <c r="T111">
        <f>I111*-0.5+M111*0.5</f>
        <v>0.254</v>
      </c>
      <c r="U111">
        <f>I111*0.7+M111*-0.25+D111*-0.25</f>
        <v>-6.8550000000000028E-2</v>
      </c>
      <c r="V111">
        <f>J111*0.5+I111*-0.5</f>
        <v>-4.6599999999999996E-2</v>
      </c>
      <c r="W111">
        <f>M111*0.5+G111*0.25+I111*0.25</f>
        <v>0.49750000000000005</v>
      </c>
    </row>
    <row r="112" spans="1:23" x14ac:dyDescent="0.2">
      <c r="A112">
        <v>8.6699999999999999E-2</v>
      </c>
      <c r="B112">
        <v>1</v>
      </c>
      <c r="C112">
        <v>4</v>
      </c>
      <c r="D112">
        <v>0.14599999999999999</v>
      </c>
      <c r="E112">
        <v>-5.1040000000000001</v>
      </c>
      <c r="F112">
        <v>188013</v>
      </c>
      <c r="G112">
        <v>0.622</v>
      </c>
      <c r="H112">
        <v>184</v>
      </c>
      <c r="I112">
        <v>0.40899999999999997</v>
      </c>
      <c r="J112">
        <v>0.16800000000000001</v>
      </c>
      <c r="K112" t="s">
        <v>482</v>
      </c>
      <c r="L112">
        <v>35</v>
      </c>
      <c r="M112">
        <v>0.91700000000000004</v>
      </c>
      <c r="N112">
        <v>130.08099999999999</v>
      </c>
      <c r="O112">
        <v>0</v>
      </c>
      <c r="P112">
        <v>1</v>
      </c>
      <c r="Q112">
        <v>3</v>
      </c>
      <c r="R112" t="s">
        <v>483</v>
      </c>
      <c r="S112" t="s">
        <v>484</v>
      </c>
      <c r="T112">
        <f>I112*-0.5+M112*0.5</f>
        <v>0.254</v>
      </c>
      <c r="U112">
        <f>I112*0.7+M112*-0.25+D112*-0.25</f>
        <v>2.0549999999999936E-2</v>
      </c>
      <c r="V112">
        <f>J112*0.5+I112*-0.5</f>
        <v>-0.12049999999999998</v>
      </c>
      <c r="W112">
        <f>M112*0.5+G112*0.25+I112*0.25</f>
        <v>0.71624999999999994</v>
      </c>
    </row>
    <row r="113" spans="1:23" x14ac:dyDescent="0.2">
      <c r="A113">
        <v>5.3600000000000002E-2</v>
      </c>
      <c r="B113">
        <v>5</v>
      </c>
      <c r="C113">
        <v>4</v>
      </c>
      <c r="D113">
        <v>0.82299999999999995</v>
      </c>
      <c r="E113">
        <v>-6.0910000000000002</v>
      </c>
      <c r="F113">
        <v>271600</v>
      </c>
      <c r="G113">
        <v>0.59399999999999997</v>
      </c>
      <c r="H113">
        <v>270</v>
      </c>
      <c r="I113">
        <v>0.107</v>
      </c>
      <c r="J113">
        <v>1.21E-2</v>
      </c>
      <c r="K113" t="s">
        <v>495</v>
      </c>
      <c r="L113">
        <v>26</v>
      </c>
      <c r="M113">
        <v>0.61399999999999999</v>
      </c>
      <c r="N113">
        <v>79.968000000000004</v>
      </c>
      <c r="O113">
        <v>0</v>
      </c>
      <c r="P113">
        <v>0</v>
      </c>
      <c r="Q113">
        <v>6</v>
      </c>
      <c r="R113" t="s">
        <v>496</v>
      </c>
      <c r="S113" t="s">
        <v>497</v>
      </c>
      <c r="T113">
        <f>I113*-0.5+M113*0.5</f>
        <v>0.2535</v>
      </c>
      <c r="U113">
        <f>I113*0.7+M113*-0.25+D113*-0.25</f>
        <v>-0.28434999999999999</v>
      </c>
      <c r="V113">
        <f>J113*0.5+I113*-0.5</f>
        <v>-4.7449999999999999E-2</v>
      </c>
      <c r="W113">
        <f>M113*0.5+G113*0.25+I113*0.25</f>
        <v>0.48225000000000001</v>
      </c>
    </row>
    <row r="114" spans="1:23" x14ac:dyDescent="0.2">
      <c r="A114">
        <v>4.7600000000000003E-2</v>
      </c>
      <c r="B114">
        <v>1</v>
      </c>
      <c r="C114">
        <v>4</v>
      </c>
      <c r="D114">
        <v>0.114</v>
      </c>
      <c r="E114">
        <v>-6.1180000000000003</v>
      </c>
      <c r="F114">
        <v>227423</v>
      </c>
      <c r="G114">
        <v>0.66100000000000003</v>
      </c>
      <c r="H114">
        <v>223</v>
      </c>
      <c r="I114">
        <v>0.313</v>
      </c>
      <c r="J114">
        <v>4.19E-2</v>
      </c>
      <c r="K114" t="s">
        <v>266</v>
      </c>
      <c r="L114">
        <v>58</v>
      </c>
      <c r="M114">
        <v>0.81899999999999995</v>
      </c>
      <c r="N114">
        <v>108.985</v>
      </c>
      <c r="O114">
        <v>0</v>
      </c>
      <c r="P114">
        <v>0</v>
      </c>
      <c r="Q114">
        <v>9</v>
      </c>
      <c r="R114" t="s">
        <v>267</v>
      </c>
      <c r="S114" t="s">
        <v>268</v>
      </c>
      <c r="T114">
        <f>I114*-0.5+M114*0.5</f>
        <v>0.253</v>
      </c>
      <c r="U114">
        <f>I114*0.7+M114*-0.25+D114*-0.25</f>
        <v>-1.4149999999999999E-2</v>
      </c>
      <c r="V114">
        <f>J114*0.5+I114*-0.5</f>
        <v>-0.13555</v>
      </c>
      <c r="W114">
        <f>M114*0.5+G114*0.25+I114*0.25</f>
        <v>0.65300000000000002</v>
      </c>
    </row>
    <row r="115" spans="1:23" x14ac:dyDescent="0.2">
      <c r="A115">
        <v>3.44E-2</v>
      </c>
      <c r="B115">
        <v>6</v>
      </c>
      <c r="C115">
        <v>4</v>
      </c>
      <c r="D115">
        <v>0.19500000000000001</v>
      </c>
      <c r="E115">
        <v>-3.8809999999999998</v>
      </c>
      <c r="F115">
        <v>255652</v>
      </c>
      <c r="G115">
        <v>0.45</v>
      </c>
      <c r="H115">
        <v>252</v>
      </c>
      <c r="I115">
        <v>0.34300000000000003</v>
      </c>
      <c r="J115">
        <v>2.0999999999999999E-3</v>
      </c>
      <c r="K115" t="s">
        <v>175</v>
      </c>
      <c r="L115">
        <v>25</v>
      </c>
      <c r="M115">
        <v>0.84899999999999998</v>
      </c>
      <c r="N115">
        <v>143.904</v>
      </c>
      <c r="O115" s="1">
        <v>1.61E-6</v>
      </c>
      <c r="P115">
        <v>1</v>
      </c>
      <c r="Q115">
        <v>20</v>
      </c>
      <c r="R115" t="s">
        <v>76</v>
      </c>
      <c r="S115" t="s">
        <v>176</v>
      </c>
      <c r="T115">
        <f>I115*-0.5+M115*0.5</f>
        <v>0.253</v>
      </c>
      <c r="U115">
        <f>I115*0.7+M115*-0.25+D115*-0.25</f>
        <v>-2.0899999999999988E-2</v>
      </c>
      <c r="V115">
        <f>J115*0.5+I115*-0.5</f>
        <v>-0.17045000000000002</v>
      </c>
      <c r="W115">
        <f>M115*0.5+G115*0.25+I115*0.25</f>
        <v>0.62275000000000003</v>
      </c>
    </row>
    <row r="116" spans="1:23" x14ac:dyDescent="0.2">
      <c r="A116">
        <v>8.0799999999999997E-2</v>
      </c>
      <c r="B116">
        <v>0</v>
      </c>
      <c r="C116">
        <v>4</v>
      </c>
      <c r="D116">
        <v>0.34300000000000003</v>
      </c>
      <c r="E116">
        <v>-4.0780000000000003</v>
      </c>
      <c r="F116">
        <v>212960</v>
      </c>
      <c r="G116">
        <v>0.41299999999999998</v>
      </c>
      <c r="H116">
        <v>205</v>
      </c>
      <c r="I116">
        <v>0.35</v>
      </c>
      <c r="J116">
        <v>2.8899999999999999E-2</v>
      </c>
      <c r="K116" t="s">
        <v>228</v>
      </c>
      <c r="L116">
        <v>53</v>
      </c>
      <c r="M116">
        <v>0.85599999999999998</v>
      </c>
      <c r="N116">
        <v>128.017</v>
      </c>
      <c r="O116">
        <v>5.7099999999999998E-3</v>
      </c>
      <c r="P116">
        <v>0</v>
      </c>
      <c r="Q116">
        <v>15</v>
      </c>
      <c r="R116" t="s">
        <v>229</v>
      </c>
      <c r="S116" t="s">
        <v>230</v>
      </c>
      <c r="T116">
        <f>I116*-0.5+M116*0.5</f>
        <v>0.253</v>
      </c>
      <c r="U116">
        <f>I116*0.7+M116*-0.25+D116*-0.25</f>
        <v>-5.4750000000000035E-2</v>
      </c>
      <c r="V116">
        <f>J116*0.5+I116*-0.5</f>
        <v>-0.16055</v>
      </c>
      <c r="W116">
        <f>M116*0.5+G116*0.25+I116*0.25</f>
        <v>0.61875000000000002</v>
      </c>
    </row>
    <row r="117" spans="1:23" x14ac:dyDescent="0.2">
      <c r="A117">
        <v>0.39300000000000002</v>
      </c>
      <c r="B117">
        <v>10</v>
      </c>
      <c r="C117">
        <v>4</v>
      </c>
      <c r="D117">
        <v>0.36899999999999999</v>
      </c>
      <c r="E117">
        <v>-5.5220000000000002</v>
      </c>
      <c r="F117">
        <v>247867</v>
      </c>
      <c r="G117">
        <v>0.72</v>
      </c>
      <c r="H117">
        <v>224</v>
      </c>
      <c r="I117">
        <v>0.245</v>
      </c>
      <c r="J117">
        <v>2.35E-2</v>
      </c>
      <c r="K117" t="s">
        <v>296</v>
      </c>
      <c r="L117">
        <v>59</v>
      </c>
      <c r="M117">
        <v>0.748</v>
      </c>
      <c r="N117">
        <v>145.22</v>
      </c>
      <c r="O117">
        <v>0</v>
      </c>
      <c r="P117">
        <v>0</v>
      </c>
      <c r="Q117">
        <v>8</v>
      </c>
      <c r="R117" t="s">
        <v>297</v>
      </c>
      <c r="S117" t="s">
        <v>298</v>
      </c>
      <c r="T117">
        <f>I117*-0.5+M117*0.5</f>
        <v>0.2515</v>
      </c>
      <c r="U117">
        <f>I117*0.7+M117*-0.25+D117*-0.25</f>
        <v>-0.10775000000000001</v>
      </c>
      <c r="V117">
        <f>J117*0.5+I117*-0.5</f>
        <v>-0.11075</v>
      </c>
      <c r="W117">
        <f>M117*0.5+G117*0.25+I117*0.25</f>
        <v>0.61525000000000007</v>
      </c>
    </row>
    <row r="118" spans="1:23" x14ac:dyDescent="0.2">
      <c r="A118">
        <v>9.2200000000000004E-2</v>
      </c>
      <c r="B118">
        <v>9</v>
      </c>
      <c r="C118">
        <v>4</v>
      </c>
      <c r="D118">
        <v>0.13600000000000001</v>
      </c>
      <c r="E118">
        <v>-6.0490000000000004</v>
      </c>
      <c r="F118">
        <v>251427</v>
      </c>
      <c r="G118">
        <v>0.86799999999999999</v>
      </c>
      <c r="H118">
        <v>216</v>
      </c>
      <c r="I118">
        <v>0.34499999999999997</v>
      </c>
      <c r="J118">
        <v>0.151</v>
      </c>
      <c r="K118" t="s">
        <v>536</v>
      </c>
      <c r="L118">
        <v>31</v>
      </c>
      <c r="M118">
        <v>0.84799999999999998</v>
      </c>
      <c r="N118">
        <v>130.11500000000001</v>
      </c>
      <c r="O118">
        <v>8.43E-4</v>
      </c>
      <c r="P118">
        <v>1</v>
      </c>
      <c r="Q118">
        <v>1</v>
      </c>
      <c r="R118" t="s">
        <v>491</v>
      </c>
      <c r="S118" t="s">
        <v>537</v>
      </c>
      <c r="T118">
        <f>I118*-0.5+M118*0.5</f>
        <v>0.2515</v>
      </c>
      <c r="U118">
        <f>I118*0.7+M118*-0.25+D118*-0.25</f>
        <v>-4.5000000000000318E-3</v>
      </c>
      <c r="V118">
        <f>J118*0.5+I118*-0.5</f>
        <v>-9.6999999999999989E-2</v>
      </c>
      <c r="W118">
        <f>M118*0.5+G118*0.25+I118*0.25</f>
        <v>0.72724999999999995</v>
      </c>
    </row>
    <row r="119" spans="1:23" x14ac:dyDescent="0.2">
      <c r="A119">
        <v>5.74E-2</v>
      </c>
      <c r="B119">
        <v>3</v>
      </c>
      <c r="C119">
        <v>4</v>
      </c>
      <c r="D119">
        <v>0.23699999999999999</v>
      </c>
      <c r="E119">
        <v>-2.2480000000000002</v>
      </c>
      <c r="F119">
        <v>203640</v>
      </c>
      <c r="G119">
        <v>0.441</v>
      </c>
      <c r="H119">
        <v>201</v>
      </c>
      <c r="I119">
        <v>0.44700000000000001</v>
      </c>
      <c r="J119" s="1">
        <v>4.4400000000000002E-5</v>
      </c>
      <c r="K119" t="s">
        <v>127</v>
      </c>
      <c r="L119">
        <v>26</v>
      </c>
      <c r="M119">
        <v>0.94899999999999995</v>
      </c>
      <c r="N119">
        <v>130.81700000000001</v>
      </c>
      <c r="O119">
        <v>0</v>
      </c>
      <c r="P119">
        <v>1</v>
      </c>
      <c r="Q119">
        <v>19</v>
      </c>
      <c r="R119" t="s">
        <v>128</v>
      </c>
      <c r="S119" t="s">
        <v>129</v>
      </c>
      <c r="T119">
        <f>I119*-0.5+M119*0.5</f>
        <v>0.251</v>
      </c>
      <c r="U119">
        <f>I119*0.7+M119*-0.25+D119*-0.25</f>
        <v>1.6400000000000026E-2</v>
      </c>
      <c r="V119">
        <f>J119*0.5+I119*-0.5</f>
        <v>-0.2234778</v>
      </c>
      <c r="W119">
        <f>M119*0.5+G119*0.25+I119*0.25</f>
        <v>0.69650000000000001</v>
      </c>
    </row>
    <row r="120" spans="1:23" x14ac:dyDescent="0.2">
      <c r="A120">
        <v>5.3999999999999999E-2</v>
      </c>
      <c r="B120">
        <v>10</v>
      </c>
      <c r="C120">
        <v>4</v>
      </c>
      <c r="D120">
        <v>0.24</v>
      </c>
      <c r="E120">
        <v>-6.5780000000000003</v>
      </c>
      <c r="F120">
        <v>321280</v>
      </c>
      <c r="G120">
        <v>0.47199999999999998</v>
      </c>
      <c r="H120">
        <v>217</v>
      </c>
      <c r="I120">
        <v>0.34300000000000003</v>
      </c>
      <c r="J120">
        <v>1.73E-3</v>
      </c>
      <c r="K120" t="s">
        <v>188</v>
      </c>
      <c r="L120">
        <v>45</v>
      </c>
      <c r="M120">
        <v>0.84399999999999997</v>
      </c>
      <c r="N120">
        <v>140.03399999999999</v>
      </c>
      <c r="O120">
        <v>0</v>
      </c>
      <c r="P120">
        <v>1</v>
      </c>
      <c r="Q120">
        <v>19</v>
      </c>
      <c r="R120" t="s">
        <v>189</v>
      </c>
      <c r="S120" t="s">
        <v>190</v>
      </c>
      <c r="T120">
        <f>I120*-0.5+M120*0.5</f>
        <v>0.25049999999999994</v>
      </c>
      <c r="U120">
        <f>I120*0.7+M120*-0.25+D120*-0.25</f>
        <v>-3.0899999999999983E-2</v>
      </c>
      <c r="V120">
        <f>J120*0.5+I120*-0.5</f>
        <v>-0.17063500000000001</v>
      </c>
      <c r="W120">
        <f>M120*0.5+G120*0.25+I120*0.25</f>
        <v>0.62575000000000003</v>
      </c>
    </row>
    <row r="121" spans="1:23" x14ac:dyDescent="0.2">
      <c r="A121">
        <v>3.6900000000000002E-2</v>
      </c>
      <c r="B121">
        <v>9</v>
      </c>
      <c r="C121">
        <v>4</v>
      </c>
      <c r="D121">
        <v>8.5900000000000004E-2</v>
      </c>
      <c r="E121">
        <v>-6.0309999999999997</v>
      </c>
      <c r="F121">
        <v>321293</v>
      </c>
      <c r="G121">
        <v>0.64900000000000002</v>
      </c>
      <c r="H121">
        <v>257</v>
      </c>
      <c r="I121">
        <v>0.28499999999999998</v>
      </c>
      <c r="J121">
        <v>2.7000000000000001E-3</v>
      </c>
      <c r="K121" t="s">
        <v>254</v>
      </c>
      <c r="L121">
        <v>29</v>
      </c>
      <c r="M121">
        <v>0.78500000000000003</v>
      </c>
      <c r="N121">
        <v>137.61799999999999</v>
      </c>
      <c r="O121">
        <v>0</v>
      </c>
      <c r="P121">
        <v>0</v>
      </c>
      <c r="Q121">
        <v>11</v>
      </c>
      <c r="R121" t="s">
        <v>255</v>
      </c>
      <c r="S121" t="s">
        <v>256</v>
      </c>
      <c r="T121">
        <f>I121*-0.5+M121*0.5</f>
        <v>0.25</v>
      </c>
      <c r="U121">
        <f>I121*0.7+M121*-0.25+D121*-0.25</f>
        <v>-1.8225000000000026E-2</v>
      </c>
      <c r="V121">
        <f>J121*0.5+I121*-0.5</f>
        <v>-0.14115</v>
      </c>
      <c r="W121">
        <f>M121*0.5+G121*0.25+I121*0.25</f>
        <v>0.62600000000000011</v>
      </c>
    </row>
    <row r="122" spans="1:23" x14ac:dyDescent="0.2">
      <c r="A122">
        <v>4.8800000000000003E-2</v>
      </c>
      <c r="B122">
        <v>1</v>
      </c>
      <c r="C122">
        <v>3</v>
      </c>
      <c r="D122">
        <v>0.34799999999999998</v>
      </c>
      <c r="E122">
        <v>-3.3180000000000001</v>
      </c>
      <c r="F122">
        <v>238400</v>
      </c>
      <c r="G122">
        <v>0.50900000000000001</v>
      </c>
      <c r="H122">
        <v>235</v>
      </c>
      <c r="I122">
        <v>0.34300000000000003</v>
      </c>
      <c r="J122">
        <v>6.7100000000000005E-4</v>
      </c>
      <c r="K122" t="s">
        <v>191</v>
      </c>
      <c r="L122">
        <v>12</v>
      </c>
      <c r="M122">
        <v>0.84299999999999997</v>
      </c>
      <c r="N122">
        <v>140.05500000000001</v>
      </c>
      <c r="O122">
        <v>8.03E-4</v>
      </c>
      <c r="P122">
        <v>0</v>
      </c>
      <c r="Q122">
        <v>18</v>
      </c>
      <c r="R122" t="s">
        <v>73</v>
      </c>
      <c r="S122" t="s">
        <v>192</v>
      </c>
      <c r="T122">
        <f>I122*-0.5+M122*0.5</f>
        <v>0.24999999999999997</v>
      </c>
      <c r="U122">
        <f>I122*0.7+M122*-0.25+D122*-0.25</f>
        <v>-5.7649999999999979E-2</v>
      </c>
      <c r="V122">
        <f>J122*0.5+I122*-0.5</f>
        <v>-0.17116450000000002</v>
      </c>
      <c r="W122">
        <f>M122*0.5+G122*0.25+I122*0.25</f>
        <v>0.63449999999999995</v>
      </c>
    </row>
    <row r="123" spans="1:23" x14ac:dyDescent="0.2">
      <c r="A123">
        <v>3.2300000000000002E-2</v>
      </c>
      <c r="B123">
        <v>8</v>
      </c>
      <c r="C123">
        <v>4</v>
      </c>
      <c r="D123">
        <v>9.6000000000000002E-2</v>
      </c>
      <c r="E123">
        <v>-5.0359999999999996</v>
      </c>
      <c r="F123">
        <v>197267</v>
      </c>
      <c r="G123">
        <v>0.628</v>
      </c>
      <c r="H123">
        <v>193</v>
      </c>
      <c r="I123">
        <v>9.3299999999999994E-2</v>
      </c>
      <c r="J123">
        <v>9.2999999999999999E-2</v>
      </c>
      <c r="K123" t="s">
        <v>719</v>
      </c>
      <c r="L123">
        <v>54</v>
      </c>
      <c r="M123">
        <v>0.59299999999999997</v>
      </c>
      <c r="N123">
        <v>125.026</v>
      </c>
      <c r="O123" s="1">
        <v>1.6500000000000001E-6</v>
      </c>
      <c r="P123">
        <v>1</v>
      </c>
      <c r="Q123">
        <v>6</v>
      </c>
      <c r="R123" t="s">
        <v>720</v>
      </c>
      <c r="S123" t="s">
        <v>721</v>
      </c>
      <c r="T123">
        <f>I123*-0.5+M123*0.5</f>
        <v>0.24984999999999999</v>
      </c>
      <c r="U123">
        <f>I123*0.7+M123*-0.25+D123*-0.25</f>
        <v>-0.10694000000000001</v>
      </c>
      <c r="V123">
        <f>J123*0.5+I123*-0.5</f>
        <v>-1.4999999999999736E-4</v>
      </c>
      <c r="W123">
        <f>M123*0.5+G123*0.25+I123*0.25</f>
        <v>0.476825</v>
      </c>
    </row>
    <row r="124" spans="1:23" x14ac:dyDescent="0.2">
      <c r="A124">
        <v>3.32E-2</v>
      </c>
      <c r="B124">
        <v>2</v>
      </c>
      <c r="C124">
        <v>4</v>
      </c>
      <c r="D124">
        <v>0.19700000000000001</v>
      </c>
      <c r="E124">
        <v>-5.3440000000000003</v>
      </c>
      <c r="F124">
        <v>261853</v>
      </c>
      <c r="G124">
        <v>0.47599999999999998</v>
      </c>
      <c r="H124">
        <v>259</v>
      </c>
      <c r="I124">
        <v>0.27300000000000002</v>
      </c>
      <c r="J124">
        <v>3.2800000000000003E-2</v>
      </c>
      <c r="K124" t="s">
        <v>305</v>
      </c>
      <c r="L124">
        <v>23</v>
      </c>
      <c r="M124">
        <v>0.76900000000000002</v>
      </c>
      <c r="N124">
        <v>129.05099999999999</v>
      </c>
      <c r="O124">
        <v>0</v>
      </c>
      <c r="P124">
        <v>1</v>
      </c>
      <c r="Q124">
        <v>18</v>
      </c>
      <c r="R124" t="s">
        <v>306</v>
      </c>
      <c r="S124" t="s">
        <v>307</v>
      </c>
      <c r="T124">
        <f>I124*-0.5+M124*0.5</f>
        <v>0.248</v>
      </c>
      <c r="U124">
        <f>I124*0.7+M124*-0.25+D124*-0.25</f>
        <v>-5.0400000000000014E-2</v>
      </c>
      <c r="V124">
        <f>J124*0.5+I124*-0.5</f>
        <v>-0.12010000000000001</v>
      </c>
      <c r="W124">
        <f>M124*0.5+G124*0.25+I124*0.25</f>
        <v>0.57175000000000009</v>
      </c>
    </row>
    <row r="125" spans="1:23" x14ac:dyDescent="0.2">
      <c r="A125">
        <v>0.33400000000000002</v>
      </c>
      <c r="B125">
        <v>7</v>
      </c>
      <c r="C125">
        <v>4</v>
      </c>
      <c r="D125">
        <v>0.124</v>
      </c>
      <c r="E125">
        <v>-1.958</v>
      </c>
      <c r="F125">
        <v>281533</v>
      </c>
      <c r="G125">
        <v>0.4</v>
      </c>
      <c r="H125">
        <v>210</v>
      </c>
      <c r="I125">
        <v>0.38700000000000001</v>
      </c>
      <c r="J125">
        <v>0.16800000000000001</v>
      </c>
      <c r="K125" t="s">
        <v>549</v>
      </c>
      <c r="L125">
        <v>41</v>
      </c>
      <c r="M125">
        <v>0.88200000000000001</v>
      </c>
      <c r="N125">
        <v>167.114</v>
      </c>
      <c r="O125">
        <v>0</v>
      </c>
      <c r="P125">
        <v>0</v>
      </c>
      <c r="Q125">
        <v>6</v>
      </c>
      <c r="R125" t="s">
        <v>550</v>
      </c>
      <c r="S125" t="s">
        <v>551</v>
      </c>
      <c r="T125">
        <f>I125*-0.5+M125*0.5</f>
        <v>0.2475</v>
      </c>
      <c r="U125">
        <f>I125*0.7+M125*-0.25+D125*-0.25</f>
        <v>1.9399999999999973E-2</v>
      </c>
      <c r="V125">
        <f>J125*0.5+I125*-0.5</f>
        <v>-0.1095</v>
      </c>
      <c r="W125">
        <f>M125*0.5+G125*0.25+I125*0.25</f>
        <v>0.63775000000000004</v>
      </c>
    </row>
    <row r="126" spans="1:23" x14ac:dyDescent="0.2">
      <c r="A126">
        <v>4.5199999999999997E-2</v>
      </c>
      <c r="B126">
        <v>9</v>
      </c>
      <c r="C126">
        <v>4</v>
      </c>
      <c r="D126">
        <v>0.26</v>
      </c>
      <c r="E126">
        <v>-5.4020000000000001</v>
      </c>
      <c r="F126">
        <v>234547</v>
      </c>
      <c r="G126">
        <v>0.59599999999999997</v>
      </c>
      <c r="H126">
        <v>234</v>
      </c>
      <c r="I126">
        <v>0.35799999999999998</v>
      </c>
      <c r="J126">
        <v>7.2800000000000004E-2</v>
      </c>
      <c r="K126" t="s">
        <v>314</v>
      </c>
      <c r="L126">
        <v>54</v>
      </c>
      <c r="M126">
        <v>0.85</v>
      </c>
      <c r="N126">
        <v>119.985</v>
      </c>
      <c r="O126">
        <v>0</v>
      </c>
      <c r="P126">
        <v>1</v>
      </c>
      <c r="Q126">
        <v>15</v>
      </c>
      <c r="R126" t="s">
        <v>146</v>
      </c>
      <c r="S126" t="s">
        <v>315</v>
      </c>
      <c r="T126">
        <f>I126*-0.5+M126*0.5</f>
        <v>0.246</v>
      </c>
      <c r="U126">
        <f>I126*0.7+M126*-0.25+D126*-0.25</f>
        <v>-2.6900000000000007E-2</v>
      </c>
      <c r="V126">
        <f>J126*0.5+I126*-0.5</f>
        <v>-0.1426</v>
      </c>
      <c r="W126">
        <f>M126*0.5+G126*0.25+I126*0.25</f>
        <v>0.66349999999999998</v>
      </c>
    </row>
    <row r="127" spans="1:23" x14ac:dyDescent="0.2">
      <c r="A127">
        <v>4.2200000000000001E-2</v>
      </c>
      <c r="B127">
        <v>1</v>
      </c>
      <c r="C127">
        <v>4</v>
      </c>
      <c r="D127">
        <v>0.217</v>
      </c>
      <c r="E127">
        <v>-4.117</v>
      </c>
      <c r="F127">
        <v>237347</v>
      </c>
      <c r="G127">
        <v>0.315</v>
      </c>
      <c r="H127">
        <v>236</v>
      </c>
      <c r="I127">
        <v>0.33700000000000002</v>
      </c>
      <c r="J127">
        <v>1.4200000000000001E-4</v>
      </c>
      <c r="K127" t="s">
        <v>224</v>
      </c>
      <c r="L127">
        <v>6</v>
      </c>
      <c r="M127">
        <v>0.82899999999999996</v>
      </c>
      <c r="N127">
        <v>152.13499999999999</v>
      </c>
      <c r="O127">
        <v>7.6999999999999996E-4</v>
      </c>
      <c r="P127">
        <v>1</v>
      </c>
      <c r="Q127">
        <v>15</v>
      </c>
      <c r="R127" t="s">
        <v>86</v>
      </c>
      <c r="S127" t="s">
        <v>225</v>
      </c>
      <c r="T127">
        <f>I127*-0.5+M127*0.5</f>
        <v>0.24599999999999997</v>
      </c>
      <c r="U127">
        <f>I127*0.7+M127*-0.25+D127*-0.25</f>
        <v>-2.5599999999999991E-2</v>
      </c>
      <c r="V127">
        <f>J127*0.5+I127*-0.5</f>
        <v>-0.16842900000000002</v>
      </c>
      <c r="W127">
        <f>M127*0.5+G127*0.25+I127*0.25</f>
        <v>0.57750000000000001</v>
      </c>
    </row>
    <row r="128" spans="1:23" x14ac:dyDescent="0.2">
      <c r="A128">
        <v>3.09E-2</v>
      </c>
      <c r="B128">
        <v>6</v>
      </c>
      <c r="C128">
        <v>4</v>
      </c>
      <c r="D128">
        <v>0.107</v>
      </c>
      <c r="E128">
        <v>-5.1529999999999996</v>
      </c>
      <c r="F128">
        <v>238173</v>
      </c>
      <c r="G128">
        <v>0.51800000000000002</v>
      </c>
      <c r="H128">
        <v>236</v>
      </c>
      <c r="I128">
        <v>0.30599999999999999</v>
      </c>
      <c r="J128">
        <v>6.96E-4</v>
      </c>
      <c r="K128" t="s">
        <v>257</v>
      </c>
      <c r="L128">
        <v>23</v>
      </c>
      <c r="M128">
        <v>0.79700000000000004</v>
      </c>
      <c r="N128">
        <v>132.91499999999999</v>
      </c>
      <c r="O128">
        <v>0</v>
      </c>
      <c r="P128">
        <v>1</v>
      </c>
      <c r="Q128">
        <v>19</v>
      </c>
      <c r="R128" t="s">
        <v>38</v>
      </c>
      <c r="S128" t="s">
        <v>258</v>
      </c>
      <c r="T128">
        <f>I128*-0.5+M128*0.5</f>
        <v>0.24550000000000002</v>
      </c>
      <c r="U128">
        <f>I128*0.7+M128*-0.25+D128*-0.25</f>
        <v>-1.1800000000000036E-2</v>
      </c>
      <c r="V128">
        <f>J128*0.5+I128*-0.5</f>
        <v>-0.15265200000000001</v>
      </c>
      <c r="W128">
        <f>M128*0.5+G128*0.25+I128*0.25</f>
        <v>0.60450000000000004</v>
      </c>
    </row>
    <row r="129" spans="1:23" x14ac:dyDescent="0.2">
      <c r="A129">
        <v>2.8500000000000001E-2</v>
      </c>
      <c r="B129">
        <v>8</v>
      </c>
      <c r="C129">
        <v>4</v>
      </c>
      <c r="D129">
        <v>0.10100000000000001</v>
      </c>
      <c r="E129">
        <v>-6.0510000000000002</v>
      </c>
      <c r="F129">
        <v>184400</v>
      </c>
      <c r="G129">
        <v>0.65400000000000003</v>
      </c>
      <c r="H129">
        <v>184</v>
      </c>
      <c r="I129">
        <v>0.11899999999999999</v>
      </c>
      <c r="J129">
        <v>3.9899999999999998E-2</v>
      </c>
      <c r="K129" t="s">
        <v>587</v>
      </c>
      <c r="L129">
        <v>27</v>
      </c>
      <c r="M129">
        <v>0.61</v>
      </c>
      <c r="N129">
        <v>118.032</v>
      </c>
      <c r="O129">
        <v>0</v>
      </c>
      <c r="P129">
        <v>1</v>
      </c>
      <c r="Q129">
        <v>14</v>
      </c>
      <c r="R129" t="s">
        <v>588</v>
      </c>
      <c r="S129" t="s">
        <v>589</v>
      </c>
      <c r="T129">
        <f>I129*-0.5+M129*0.5</f>
        <v>0.2455</v>
      </c>
      <c r="U129">
        <f>I129*0.7+M129*-0.25+D129*-0.25</f>
        <v>-9.4450000000000006E-2</v>
      </c>
      <c r="V129">
        <f>J129*0.5+I129*-0.5</f>
        <v>-3.9550000000000002E-2</v>
      </c>
      <c r="W129">
        <f>M129*0.5+G129*0.25+I129*0.25</f>
        <v>0.49825000000000003</v>
      </c>
    </row>
    <row r="130" spans="1:23" x14ac:dyDescent="0.2">
      <c r="A130">
        <v>5.1700000000000003E-2</v>
      </c>
      <c r="B130">
        <v>1</v>
      </c>
      <c r="C130">
        <v>4</v>
      </c>
      <c r="D130">
        <v>9.8400000000000001E-2</v>
      </c>
      <c r="E130">
        <v>-5.74</v>
      </c>
      <c r="F130">
        <v>228880</v>
      </c>
      <c r="G130">
        <v>0.315</v>
      </c>
      <c r="H130">
        <v>226</v>
      </c>
      <c r="I130">
        <v>0.26</v>
      </c>
      <c r="J130">
        <v>4.1000000000000003E-3</v>
      </c>
      <c r="K130" t="s">
        <v>289</v>
      </c>
      <c r="L130">
        <v>22</v>
      </c>
      <c r="M130">
        <v>0.751</v>
      </c>
      <c r="N130">
        <v>119.566</v>
      </c>
      <c r="O130">
        <v>0</v>
      </c>
      <c r="P130">
        <v>0</v>
      </c>
      <c r="Q130">
        <v>13</v>
      </c>
      <c r="R130" t="s">
        <v>181</v>
      </c>
      <c r="S130" t="s">
        <v>290</v>
      </c>
      <c r="T130">
        <f>I130*-0.5+M130*0.5</f>
        <v>0.2455</v>
      </c>
      <c r="U130">
        <f>I130*0.7+M130*-0.25+D130*-0.25</f>
        <v>-3.0350000000000005E-2</v>
      </c>
      <c r="V130">
        <f>J130*0.5+I130*-0.5</f>
        <v>-0.12795000000000001</v>
      </c>
      <c r="W130">
        <f>M130*0.5+G130*0.25+I130*0.25</f>
        <v>0.51924999999999999</v>
      </c>
    </row>
    <row r="131" spans="1:23" x14ac:dyDescent="0.2">
      <c r="A131">
        <v>3.3700000000000001E-2</v>
      </c>
      <c r="B131">
        <v>2</v>
      </c>
      <c r="C131">
        <v>4</v>
      </c>
      <c r="D131">
        <v>0.34799999999999998</v>
      </c>
      <c r="E131">
        <v>-5.8339999999999996</v>
      </c>
      <c r="F131">
        <v>238240</v>
      </c>
      <c r="G131">
        <v>0.38800000000000001</v>
      </c>
      <c r="H131">
        <v>237</v>
      </c>
      <c r="I131">
        <v>0.19900000000000001</v>
      </c>
      <c r="J131">
        <v>8.09E-3</v>
      </c>
      <c r="K131" t="s">
        <v>421</v>
      </c>
      <c r="L131">
        <v>11</v>
      </c>
      <c r="M131">
        <v>0.68899999999999995</v>
      </c>
      <c r="N131">
        <v>126.36199999999999</v>
      </c>
      <c r="O131">
        <v>9.4600000000000001E-4</v>
      </c>
      <c r="P131">
        <v>1</v>
      </c>
      <c r="Q131">
        <v>18</v>
      </c>
      <c r="R131" t="s">
        <v>422</v>
      </c>
      <c r="S131" t="s">
        <v>423</v>
      </c>
      <c r="T131">
        <f>I131*-0.5+M131*0.5</f>
        <v>0.24499999999999997</v>
      </c>
      <c r="U131">
        <f>I131*0.7+M131*-0.25+D131*-0.25</f>
        <v>-0.11994999999999997</v>
      </c>
      <c r="V131">
        <f>J131*0.5+I131*-0.5</f>
        <v>-9.5455000000000012E-2</v>
      </c>
      <c r="W131">
        <f>M131*0.5+G131*0.25+I131*0.25</f>
        <v>0.49125000000000002</v>
      </c>
    </row>
    <row r="132" spans="1:23" x14ac:dyDescent="0.2">
      <c r="A132">
        <v>5.1999999999999998E-2</v>
      </c>
      <c r="B132">
        <v>8</v>
      </c>
      <c r="C132">
        <v>4</v>
      </c>
      <c r="D132">
        <v>0.41</v>
      </c>
      <c r="E132">
        <v>-5.3730000000000002</v>
      </c>
      <c r="F132">
        <v>196467</v>
      </c>
      <c r="G132">
        <v>0.63500000000000001</v>
      </c>
      <c r="H132">
        <v>197</v>
      </c>
      <c r="I132">
        <v>0.48499999999999999</v>
      </c>
      <c r="J132">
        <v>4.7400000000000003E-3</v>
      </c>
      <c r="K132" t="s">
        <v>136</v>
      </c>
      <c r="L132">
        <v>21</v>
      </c>
      <c r="M132">
        <v>0.97399999999999998</v>
      </c>
      <c r="N132">
        <v>142.04900000000001</v>
      </c>
      <c r="O132" s="1">
        <v>1.56E-5</v>
      </c>
      <c r="P132">
        <v>1</v>
      </c>
      <c r="Q132">
        <v>20</v>
      </c>
      <c r="R132" t="s">
        <v>137</v>
      </c>
      <c r="S132" t="s">
        <v>138</v>
      </c>
      <c r="T132">
        <f>I132*-0.5+M132*0.5</f>
        <v>0.2445</v>
      </c>
      <c r="U132">
        <f>I132*0.7+M132*-0.25+D132*-0.25</f>
        <v>-6.5000000000000197E-3</v>
      </c>
      <c r="V132">
        <f>J132*0.5+I132*-0.5</f>
        <v>-0.24012999999999998</v>
      </c>
      <c r="W132">
        <f>M132*0.5+G132*0.25+I132*0.25</f>
        <v>0.76700000000000002</v>
      </c>
    </row>
    <row r="133" spans="1:23" x14ac:dyDescent="0.2">
      <c r="A133">
        <v>3.5200000000000002E-2</v>
      </c>
      <c r="B133">
        <v>11</v>
      </c>
      <c r="C133">
        <v>4</v>
      </c>
      <c r="D133">
        <v>0.22700000000000001</v>
      </c>
      <c r="E133">
        <v>-3.794</v>
      </c>
      <c r="F133">
        <v>237440</v>
      </c>
      <c r="G133">
        <v>0.56000000000000005</v>
      </c>
      <c r="H133">
        <v>235</v>
      </c>
      <c r="I133">
        <v>0.33600000000000002</v>
      </c>
      <c r="J133">
        <v>0.314</v>
      </c>
      <c r="K133" t="s">
        <v>1144</v>
      </c>
      <c r="L133">
        <v>10</v>
      </c>
      <c r="M133">
        <v>0.82499999999999996</v>
      </c>
      <c r="N133">
        <v>94.930999999999997</v>
      </c>
      <c r="O133">
        <v>0</v>
      </c>
      <c r="P133">
        <v>1</v>
      </c>
      <c r="Q133">
        <v>15</v>
      </c>
      <c r="R133" t="s">
        <v>1145</v>
      </c>
      <c r="S133" t="s">
        <v>1146</v>
      </c>
      <c r="T133">
        <f>I133*-0.5+M133*0.5</f>
        <v>0.24449999999999997</v>
      </c>
      <c r="U133">
        <f>I133*0.7+M133*-0.25+D133*-0.25</f>
        <v>-2.7799999999999998E-2</v>
      </c>
      <c r="V133">
        <f>J133*0.5+I133*-0.5</f>
        <v>-1.100000000000001E-2</v>
      </c>
      <c r="W133">
        <f>M133*0.5+G133*0.25+I133*0.25</f>
        <v>0.63649999999999995</v>
      </c>
    </row>
    <row r="134" spans="1:23" x14ac:dyDescent="0.2">
      <c r="A134">
        <v>0.13800000000000001</v>
      </c>
      <c r="B134">
        <v>1</v>
      </c>
      <c r="C134">
        <v>4</v>
      </c>
      <c r="D134">
        <v>0.41599999999999998</v>
      </c>
      <c r="E134">
        <v>-4.2210000000000001</v>
      </c>
      <c r="F134">
        <v>202496</v>
      </c>
      <c r="G134">
        <v>0.49299999999999999</v>
      </c>
      <c r="H134">
        <v>202</v>
      </c>
      <c r="I134">
        <v>0.46700000000000003</v>
      </c>
      <c r="J134">
        <v>6.6799999999999997E-4</v>
      </c>
      <c r="K134" t="s">
        <v>148</v>
      </c>
      <c r="L134">
        <v>51</v>
      </c>
      <c r="M134">
        <v>0.95599999999999996</v>
      </c>
      <c r="N134">
        <v>160.006</v>
      </c>
      <c r="O134">
        <v>0</v>
      </c>
      <c r="P134">
        <v>0</v>
      </c>
      <c r="Q134">
        <v>12</v>
      </c>
      <c r="R134" t="s">
        <v>149</v>
      </c>
      <c r="S134" t="s">
        <v>150</v>
      </c>
      <c r="T134">
        <f>I134*-0.5+M134*0.5</f>
        <v>0.24449999999999997</v>
      </c>
      <c r="U134">
        <f>I134*0.7+M134*-0.25+D134*-0.25</f>
        <v>-1.6099999999999962E-2</v>
      </c>
      <c r="V134">
        <f>J134*0.5+I134*-0.5</f>
        <v>-0.23316600000000001</v>
      </c>
      <c r="W134">
        <f>M134*0.5+G134*0.25+I134*0.25</f>
        <v>0.71799999999999997</v>
      </c>
    </row>
    <row r="135" spans="1:23" x14ac:dyDescent="0.2">
      <c r="A135">
        <v>0.19600000000000001</v>
      </c>
      <c r="B135">
        <v>5</v>
      </c>
      <c r="C135">
        <v>4</v>
      </c>
      <c r="D135">
        <v>0.26200000000000001</v>
      </c>
      <c r="E135">
        <v>-5.3689999999999998</v>
      </c>
      <c r="F135">
        <v>247267</v>
      </c>
      <c r="G135">
        <v>0.42599999999999999</v>
      </c>
      <c r="H135">
        <v>244</v>
      </c>
      <c r="I135">
        <v>0.23499999999999999</v>
      </c>
      <c r="J135">
        <v>1.1299999999999999E-2</v>
      </c>
      <c r="K135" t="s">
        <v>390</v>
      </c>
      <c r="L135">
        <v>55</v>
      </c>
      <c r="M135">
        <v>0.72199999999999998</v>
      </c>
      <c r="N135">
        <v>196.13300000000001</v>
      </c>
      <c r="O135" s="1">
        <v>1.2699999999999999E-6</v>
      </c>
      <c r="P135">
        <v>0</v>
      </c>
      <c r="Q135">
        <v>10</v>
      </c>
      <c r="R135" t="s">
        <v>391</v>
      </c>
      <c r="S135" t="s">
        <v>392</v>
      </c>
      <c r="T135">
        <f>I135*-0.5+M135*0.5</f>
        <v>0.24349999999999999</v>
      </c>
      <c r="U135">
        <f>I135*0.7+M135*-0.25+D135*-0.25</f>
        <v>-8.1500000000000017E-2</v>
      </c>
      <c r="V135">
        <f>J135*0.5+I135*-0.5</f>
        <v>-0.11184999999999999</v>
      </c>
      <c r="W135">
        <f>M135*0.5+G135*0.25+I135*0.25</f>
        <v>0.52625</v>
      </c>
    </row>
    <row r="136" spans="1:23" x14ac:dyDescent="0.2">
      <c r="A136">
        <v>4.3900000000000002E-2</v>
      </c>
      <c r="B136">
        <v>2</v>
      </c>
      <c r="C136">
        <v>4</v>
      </c>
      <c r="D136">
        <v>0.124</v>
      </c>
      <c r="E136">
        <v>-6.8120000000000003</v>
      </c>
      <c r="F136">
        <v>230800</v>
      </c>
      <c r="G136">
        <v>0.53100000000000003</v>
      </c>
      <c r="H136">
        <v>230</v>
      </c>
      <c r="I136">
        <v>0.33400000000000002</v>
      </c>
      <c r="J136">
        <v>7.0099999999999996E-2</v>
      </c>
      <c r="K136" t="s">
        <v>413</v>
      </c>
      <c r="L136">
        <v>34</v>
      </c>
      <c r="M136">
        <v>0.82099999999999995</v>
      </c>
      <c r="N136">
        <v>129.13900000000001</v>
      </c>
      <c r="O136">
        <v>0.17100000000000001</v>
      </c>
      <c r="P136">
        <v>1</v>
      </c>
      <c r="Q136">
        <v>12</v>
      </c>
      <c r="R136" t="s">
        <v>414</v>
      </c>
      <c r="S136" t="s">
        <v>415</v>
      </c>
      <c r="T136">
        <f>I136*-0.5+M136*0.5</f>
        <v>0.24349999999999997</v>
      </c>
      <c r="U136">
        <f>I136*0.7+M136*-0.25+D136*-0.25</f>
        <v>-2.44999999999998E-3</v>
      </c>
      <c r="V136">
        <f>J136*0.5+I136*-0.5</f>
        <v>-0.13195000000000001</v>
      </c>
      <c r="W136">
        <f>M136*0.5+G136*0.25+I136*0.25</f>
        <v>0.62675000000000003</v>
      </c>
    </row>
    <row r="137" spans="1:23" x14ac:dyDescent="0.2">
      <c r="A137">
        <v>0.124</v>
      </c>
      <c r="B137">
        <v>10</v>
      </c>
      <c r="C137">
        <v>3</v>
      </c>
      <c r="D137">
        <v>0.13</v>
      </c>
      <c r="E137">
        <v>-3.8069999999999999</v>
      </c>
      <c r="F137">
        <v>219067</v>
      </c>
      <c r="G137">
        <v>0.41199999999999998</v>
      </c>
      <c r="H137">
        <v>217</v>
      </c>
      <c r="I137">
        <v>0.435</v>
      </c>
      <c r="J137">
        <v>2.0199999999999999E-2</v>
      </c>
      <c r="K137" t="s">
        <v>180</v>
      </c>
      <c r="L137">
        <v>23</v>
      </c>
      <c r="M137">
        <v>0.92</v>
      </c>
      <c r="N137">
        <v>113.343</v>
      </c>
      <c r="O137">
        <v>0</v>
      </c>
      <c r="P137">
        <v>1</v>
      </c>
      <c r="Q137">
        <v>15</v>
      </c>
      <c r="R137" t="s">
        <v>181</v>
      </c>
      <c r="S137" t="s">
        <v>182</v>
      </c>
      <c r="T137">
        <f>I137*-0.5+M137*0.5</f>
        <v>0.24250000000000002</v>
      </c>
      <c r="U137">
        <f>I137*0.7+M137*-0.25+D137*-0.25</f>
        <v>4.1999999999999982E-2</v>
      </c>
      <c r="V137">
        <f>J137*0.5+I137*-0.5</f>
        <v>-0.2074</v>
      </c>
      <c r="W137">
        <f>M137*0.5+G137*0.25+I137*0.25</f>
        <v>0.67175000000000007</v>
      </c>
    </row>
    <row r="138" spans="1:23" x14ac:dyDescent="0.2">
      <c r="A138">
        <v>4.6600000000000003E-2</v>
      </c>
      <c r="B138">
        <v>10</v>
      </c>
      <c r="C138">
        <v>4</v>
      </c>
      <c r="D138">
        <v>0.66700000000000004</v>
      </c>
      <c r="E138">
        <v>-4.2560000000000002</v>
      </c>
      <c r="F138">
        <v>193653</v>
      </c>
      <c r="G138">
        <v>0.45300000000000001</v>
      </c>
      <c r="H138">
        <v>193</v>
      </c>
      <c r="I138">
        <v>0.45900000000000002</v>
      </c>
      <c r="J138">
        <v>4.0000000000000002E-4</v>
      </c>
      <c r="K138" t="s">
        <v>154</v>
      </c>
      <c r="L138">
        <v>21</v>
      </c>
      <c r="M138">
        <v>0.94199999999999995</v>
      </c>
      <c r="N138">
        <v>143.85</v>
      </c>
      <c r="O138" s="1">
        <v>2.65E-6</v>
      </c>
      <c r="P138">
        <v>1</v>
      </c>
      <c r="Q138">
        <v>15</v>
      </c>
      <c r="R138" t="s">
        <v>155</v>
      </c>
      <c r="S138" t="s">
        <v>156</v>
      </c>
      <c r="T138">
        <f>I138*-0.5+M138*0.5</f>
        <v>0.24149999999999996</v>
      </c>
      <c r="U138">
        <f>I138*0.7+M138*-0.25+D138*-0.25</f>
        <v>-8.0950000000000022E-2</v>
      </c>
      <c r="V138">
        <f>J138*0.5+I138*-0.5</f>
        <v>-0.2293</v>
      </c>
      <c r="W138">
        <f>M138*0.5+G138*0.25+I138*0.25</f>
        <v>0.69899999999999995</v>
      </c>
    </row>
    <row r="139" spans="1:23" x14ac:dyDescent="0.2">
      <c r="A139">
        <v>8.48E-2</v>
      </c>
      <c r="B139">
        <v>7</v>
      </c>
      <c r="C139">
        <v>4</v>
      </c>
      <c r="D139">
        <v>5.7599999999999998E-2</v>
      </c>
      <c r="E139">
        <v>-2.879</v>
      </c>
      <c r="F139">
        <v>202173</v>
      </c>
      <c r="G139">
        <v>0.61199999999999999</v>
      </c>
      <c r="H139">
        <v>200</v>
      </c>
      <c r="I139">
        <v>0.44</v>
      </c>
      <c r="J139">
        <v>1.83E-2</v>
      </c>
      <c r="K139" t="s">
        <v>185</v>
      </c>
      <c r="L139">
        <v>56</v>
      </c>
      <c r="M139">
        <v>0.92100000000000004</v>
      </c>
      <c r="N139">
        <v>139.98599999999999</v>
      </c>
      <c r="O139">
        <v>0</v>
      </c>
      <c r="P139">
        <v>1</v>
      </c>
      <c r="Q139">
        <v>15</v>
      </c>
      <c r="R139" t="s">
        <v>186</v>
      </c>
      <c r="S139" t="s">
        <v>187</v>
      </c>
      <c r="T139">
        <f>I139*-0.5+M139*0.5</f>
        <v>0.24050000000000002</v>
      </c>
      <c r="U139">
        <f>I139*0.7+M139*-0.25+D139*-0.25</f>
        <v>6.334999999999999E-2</v>
      </c>
      <c r="V139">
        <f>J139*0.5+I139*-0.5</f>
        <v>-0.21085000000000001</v>
      </c>
      <c r="W139">
        <f>M139*0.5+G139*0.25+I139*0.25</f>
        <v>0.72350000000000003</v>
      </c>
    </row>
    <row r="140" spans="1:23" x14ac:dyDescent="0.2">
      <c r="A140">
        <v>5.5399999999999998E-2</v>
      </c>
      <c r="B140">
        <v>7</v>
      </c>
      <c r="C140">
        <v>4</v>
      </c>
      <c r="D140">
        <v>0.107</v>
      </c>
      <c r="E140">
        <v>-7.9370000000000003</v>
      </c>
      <c r="F140">
        <v>185080</v>
      </c>
      <c r="G140">
        <v>0.47199999999999998</v>
      </c>
      <c r="H140">
        <v>176</v>
      </c>
      <c r="I140">
        <v>0.34300000000000003</v>
      </c>
      <c r="J140">
        <v>1.89E-2</v>
      </c>
      <c r="K140" t="s">
        <v>264</v>
      </c>
      <c r="L140">
        <v>45</v>
      </c>
      <c r="M140">
        <v>0.82399999999999995</v>
      </c>
      <c r="N140">
        <v>140.02699999999999</v>
      </c>
      <c r="O140" s="1">
        <v>2.3E-6</v>
      </c>
      <c r="P140">
        <v>0</v>
      </c>
      <c r="Q140">
        <v>14</v>
      </c>
      <c r="R140" t="s">
        <v>146</v>
      </c>
      <c r="S140" t="s">
        <v>265</v>
      </c>
      <c r="T140">
        <f>I140*-0.5+M140*0.5</f>
        <v>0.24049999999999996</v>
      </c>
      <c r="U140">
        <f>I140*0.7+M140*-0.25+D140*-0.25</f>
        <v>7.3500000000000197E-3</v>
      </c>
      <c r="V140">
        <f>J140*0.5+I140*-0.5</f>
        <v>-0.16205000000000003</v>
      </c>
      <c r="W140">
        <f>M140*0.5+G140*0.25+I140*0.25</f>
        <v>0.61575000000000002</v>
      </c>
    </row>
    <row r="141" spans="1:23" x14ac:dyDescent="0.2">
      <c r="A141">
        <v>3.3399999999999999E-2</v>
      </c>
      <c r="B141">
        <v>1</v>
      </c>
      <c r="C141">
        <v>4</v>
      </c>
      <c r="D141">
        <v>7.6399999999999996E-2</v>
      </c>
      <c r="E141">
        <v>-4.3890000000000002</v>
      </c>
      <c r="F141">
        <v>236133</v>
      </c>
      <c r="G141">
        <v>0.47199999999999998</v>
      </c>
      <c r="H141">
        <v>230</v>
      </c>
      <c r="I141">
        <v>0.23499999999999999</v>
      </c>
      <c r="J141">
        <v>9.3699999999999999E-3</v>
      </c>
      <c r="K141" t="s">
        <v>418</v>
      </c>
      <c r="L141">
        <v>53</v>
      </c>
      <c r="M141">
        <v>0.71399999999999997</v>
      </c>
      <c r="N141">
        <v>98.992000000000004</v>
      </c>
      <c r="O141">
        <v>0</v>
      </c>
      <c r="P141">
        <v>0</v>
      </c>
      <c r="Q141">
        <v>6</v>
      </c>
      <c r="R141" t="s">
        <v>419</v>
      </c>
      <c r="S141" t="s">
        <v>420</v>
      </c>
      <c r="T141">
        <f>I141*-0.5+M141*0.5</f>
        <v>0.23949999999999999</v>
      </c>
      <c r="U141">
        <f>I141*0.7+M141*-0.25+D141*-0.25</f>
        <v>-3.3100000000000011E-2</v>
      </c>
      <c r="V141">
        <f>J141*0.5+I141*-0.5</f>
        <v>-0.112815</v>
      </c>
      <c r="W141">
        <f>M141*0.5+G141*0.25+I141*0.25</f>
        <v>0.53374999999999995</v>
      </c>
    </row>
    <row r="142" spans="1:23" x14ac:dyDescent="0.2">
      <c r="A142">
        <v>4.7800000000000002E-2</v>
      </c>
      <c r="B142">
        <v>2</v>
      </c>
      <c r="C142">
        <v>4</v>
      </c>
      <c r="D142">
        <v>0.23100000000000001</v>
      </c>
      <c r="E142">
        <v>-5.7119999999999997</v>
      </c>
      <c r="F142">
        <v>183988</v>
      </c>
      <c r="G142">
        <v>0.69499999999999995</v>
      </c>
      <c r="H142">
        <v>183</v>
      </c>
      <c r="I142">
        <v>0.26200000000000001</v>
      </c>
      <c r="J142">
        <v>1.5100000000000001E-2</v>
      </c>
      <c r="K142" t="s">
        <v>402</v>
      </c>
      <c r="L142">
        <v>61</v>
      </c>
      <c r="M142">
        <v>0.74099999999999999</v>
      </c>
      <c r="N142">
        <v>95.006</v>
      </c>
      <c r="O142">
        <v>4.4200000000000003E-2</v>
      </c>
      <c r="P142">
        <v>1</v>
      </c>
      <c r="Q142">
        <v>22</v>
      </c>
      <c r="R142" t="s">
        <v>403</v>
      </c>
      <c r="S142" t="s">
        <v>404</v>
      </c>
      <c r="T142">
        <f>I142*-0.5+M142*0.5</f>
        <v>0.23949999999999999</v>
      </c>
      <c r="U142">
        <f>I142*0.7+M142*-0.25+D142*-0.25</f>
        <v>-5.9599999999999993E-2</v>
      </c>
      <c r="V142">
        <f>J142*0.5+I142*-0.5</f>
        <v>-0.12345</v>
      </c>
      <c r="W142">
        <f>M142*0.5+G142*0.25+I142*0.25</f>
        <v>0.60975000000000001</v>
      </c>
    </row>
    <row r="143" spans="1:23" x14ac:dyDescent="0.2">
      <c r="A143">
        <v>4.5900000000000003E-2</v>
      </c>
      <c r="B143">
        <v>0</v>
      </c>
      <c r="C143">
        <v>4</v>
      </c>
      <c r="D143">
        <v>0.19600000000000001</v>
      </c>
      <c r="E143">
        <v>-4.3550000000000004</v>
      </c>
      <c r="F143">
        <v>226493</v>
      </c>
      <c r="G143">
        <v>0.436</v>
      </c>
      <c r="H143">
        <v>225</v>
      </c>
      <c r="I143">
        <v>0.46500000000000002</v>
      </c>
      <c r="J143" s="1">
        <v>1.88E-5</v>
      </c>
      <c r="K143" t="s">
        <v>160</v>
      </c>
      <c r="L143">
        <v>3</v>
      </c>
      <c r="M143">
        <v>0.94399999999999995</v>
      </c>
      <c r="N143">
        <v>131.65600000000001</v>
      </c>
      <c r="O143">
        <v>0.35799999999999998</v>
      </c>
      <c r="P143">
        <v>0</v>
      </c>
      <c r="Q143">
        <v>10</v>
      </c>
      <c r="R143" t="s">
        <v>161</v>
      </c>
      <c r="S143" t="s">
        <v>162</v>
      </c>
      <c r="T143">
        <f>I143*-0.5+M143*0.5</f>
        <v>0.23949999999999996</v>
      </c>
      <c r="U143">
        <f>I143*0.7+M143*-0.25+D143*-0.25</f>
        <v>4.0500000000000022E-2</v>
      </c>
      <c r="V143">
        <f>J143*0.5+I143*-0.5</f>
        <v>-0.23249060000000002</v>
      </c>
      <c r="W143">
        <f>M143*0.5+G143*0.25+I143*0.25</f>
        <v>0.69724999999999993</v>
      </c>
    </row>
    <row r="144" spans="1:23" x14ac:dyDescent="0.2">
      <c r="A144">
        <v>2.7900000000000001E-2</v>
      </c>
      <c r="B144">
        <v>5</v>
      </c>
      <c r="C144">
        <v>4</v>
      </c>
      <c r="D144">
        <v>0.183</v>
      </c>
      <c r="E144">
        <v>-7.2149999999999999</v>
      </c>
      <c r="F144">
        <v>307880</v>
      </c>
      <c r="G144">
        <v>0.57699999999999996</v>
      </c>
      <c r="H144">
        <v>250</v>
      </c>
      <c r="I144">
        <v>0.27100000000000002</v>
      </c>
      <c r="J144">
        <v>0.59899999999999998</v>
      </c>
      <c r="K144" t="s">
        <v>2274</v>
      </c>
      <c r="L144">
        <v>13</v>
      </c>
      <c r="M144">
        <v>0.749</v>
      </c>
      <c r="N144">
        <v>130.96899999999999</v>
      </c>
      <c r="O144">
        <v>1.12E-2</v>
      </c>
      <c r="P144">
        <v>0</v>
      </c>
      <c r="Q144">
        <v>20</v>
      </c>
      <c r="R144" t="s">
        <v>116</v>
      </c>
      <c r="S144" t="s">
        <v>2275</v>
      </c>
      <c r="T144">
        <f>I144*-0.5+M144*0.5</f>
        <v>0.23899999999999999</v>
      </c>
      <c r="U144">
        <f>I144*0.7+M144*-0.25+D144*-0.25</f>
        <v>-4.3299999999999991E-2</v>
      </c>
      <c r="V144">
        <f>J144*0.5+I144*-0.5</f>
        <v>0.16399999999999998</v>
      </c>
      <c r="W144">
        <f>M144*0.5+G144*0.25+I144*0.25</f>
        <v>0.58650000000000002</v>
      </c>
    </row>
    <row r="145" spans="1:23" x14ac:dyDescent="0.2">
      <c r="A145">
        <v>3.4099999999999998E-2</v>
      </c>
      <c r="B145">
        <v>9</v>
      </c>
      <c r="C145">
        <v>4</v>
      </c>
      <c r="D145">
        <v>0.114</v>
      </c>
      <c r="E145">
        <v>-4.0140000000000002</v>
      </c>
      <c r="F145">
        <v>228827</v>
      </c>
      <c r="G145">
        <v>0.44600000000000001</v>
      </c>
      <c r="H145">
        <v>227</v>
      </c>
      <c r="I145">
        <v>0.35599999999999998</v>
      </c>
      <c r="J145">
        <v>7.9399999999999998E-2</v>
      </c>
      <c r="K145" t="s">
        <v>444</v>
      </c>
      <c r="L145">
        <v>30</v>
      </c>
      <c r="M145">
        <v>0.83399999999999996</v>
      </c>
      <c r="N145">
        <v>132.03399999999999</v>
      </c>
      <c r="O145">
        <v>0</v>
      </c>
      <c r="P145">
        <v>0</v>
      </c>
      <c r="Q145">
        <v>14</v>
      </c>
      <c r="R145" t="s">
        <v>445</v>
      </c>
      <c r="S145" t="s">
        <v>446</v>
      </c>
      <c r="T145">
        <f>I145*-0.5+M145*0.5</f>
        <v>0.23899999999999999</v>
      </c>
      <c r="U145">
        <f>I145*0.7+M145*-0.25+D145*-0.25</f>
        <v>1.2199999999999985E-2</v>
      </c>
      <c r="V145">
        <f>J145*0.5+I145*-0.5</f>
        <v>-0.13829999999999998</v>
      </c>
      <c r="W145">
        <f>M145*0.5+G145*0.25+I145*0.25</f>
        <v>0.61749999999999994</v>
      </c>
    </row>
    <row r="146" spans="1:23" x14ac:dyDescent="0.2">
      <c r="A146">
        <v>5.0999999999999997E-2</v>
      </c>
      <c r="B146">
        <v>7</v>
      </c>
      <c r="C146">
        <v>4</v>
      </c>
      <c r="D146">
        <v>0.14399999999999999</v>
      </c>
      <c r="E146">
        <v>-5.1970000000000001</v>
      </c>
      <c r="F146">
        <v>222307</v>
      </c>
      <c r="G146">
        <v>0.60199999999999998</v>
      </c>
      <c r="H146">
        <v>220</v>
      </c>
      <c r="I146">
        <v>0.215</v>
      </c>
      <c r="J146">
        <v>5.4800000000000001E-2</v>
      </c>
      <c r="K146" t="s">
        <v>555</v>
      </c>
      <c r="L146">
        <v>44</v>
      </c>
      <c r="M146">
        <v>0.69099999999999995</v>
      </c>
      <c r="N146">
        <v>127.967</v>
      </c>
      <c r="O146">
        <v>0</v>
      </c>
      <c r="P146">
        <v>0</v>
      </c>
      <c r="Q146">
        <v>10</v>
      </c>
      <c r="R146" t="s">
        <v>556</v>
      </c>
      <c r="S146" t="s">
        <v>557</v>
      </c>
      <c r="T146">
        <f>I146*-0.5+M146*0.5</f>
        <v>0.23799999999999999</v>
      </c>
      <c r="U146">
        <f>I146*0.7+M146*-0.25+D146*-0.25</f>
        <v>-5.8249999999999989E-2</v>
      </c>
      <c r="V146">
        <f>J146*0.5+I146*-0.5</f>
        <v>-8.0100000000000005E-2</v>
      </c>
      <c r="W146">
        <f>M146*0.5+G146*0.25+I146*0.25</f>
        <v>0.54974999999999996</v>
      </c>
    </row>
    <row r="147" spans="1:23" x14ac:dyDescent="0.2">
      <c r="A147">
        <v>4.1599999999999998E-2</v>
      </c>
      <c r="B147">
        <v>1</v>
      </c>
      <c r="C147">
        <v>4</v>
      </c>
      <c r="D147">
        <v>5.5E-2</v>
      </c>
      <c r="E147">
        <v>-5.3259999999999996</v>
      </c>
      <c r="F147">
        <v>220573</v>
      </c>
      <c r="G147">
        <v>0.58599999999999997</v>
      </c>
      <c r="H147">
        <v>215</v>
      </c>
      <c r="I147">
        <v>0.22600000000000001</v>
      </c>
      <c r="J147">
        <v>2.0299999999999999E-2</v>
      </c>
      <c r="K147" t="s">
        <v>467</v>
      </c>
      <c r="L147">
        <v>58</v>
      </c>
      <c r="M147">
        <v>0.70099999999999996</v>
      </c>
      <c r="N147">
        <v>104.95699999999999</v>
      </c>
      <c r="O147">
        <v>0</v>
      </c>
      <c r="P147">
        <v>0</v>
      </c>
      <c r="Q147">
        <v>11</v>
      </c>
      <c r="R147" t="s">
        <v>468</v>
      </c>
      <c r="S147" t="s">
        <v>469</v>
      </c>
      <c r="T147">
        <f>I147*-0.5+M147*0.5</f>
        <v>0.23749999999999999</v>
      </c>
      <c r="U147">
        <f>I147*0.7+M147*-0.25+D147*-0.25</f>
        <v>-3.079999999999998E-2</v>
      </c>
      <c r="V147">
        <f>J147*0.5+I147*-0.5</f>
        <v>-0.10285</v>
      </c>
      <c r="W147">
        <f>M147*0.5+G147*0.25+I147*0.25</f>
        <v>0.55349999999999999</v>
      </c>
    </row>
    <row r="148" spans="1:23" x14ac:dyDescent="0.2">
      <c r="A148">
        <v>2.81E-2</v>
      </c>
      <c r="B148">
        <v>6</v>
      </c>
      <c r="C148">
        <v>4</v>
      </c>
      <c r="D148">
        <v>0.217</v>
      </c>
      <c r="E148">
        <v>-7.125</v>
      </c>
      <c r="F148">
        <v>268467</v>
      </c>
      <c r="G148">
        <v>0.55100000000000005</v>
      </c>
      <c r="H148">
        <v>268</v>
      </c>
      <c r="I148">
        <v>0.16300000000000001</v>
      </c>
      <c r="J148">
        <v>7.1300000000000001E-3</v>
      </c>
      <c r="K148" t="s">
        <v>532</v>
      </c>
      <c r="L148">
        <v>53</v>
      </c>
      <c r="M148">
        <v>0.63600000000000001</v>
      </c>
      <c r="N148">
        <v>124.996</v>
      </c>
      <c r="O148">
        <v>2.0300000000000001E-3</v>
      </c>
      <c r="P148">
        <v>1</v>
      </c>
      <c r="Q148">
        <v>16</v>
      </c>
      <c r="R148" t="s">
        <v>116</v>
      </c>
      <c r="S148" t="s">
        <v>533</v>
      </c>
      <c r="T148">
        <f>I148*-0.5+M148*0.5</f>
        <v>0.23649999999999999</v>
      </c>
      <c r="U148">
        <f>I148*0.7+M148*-0.25+D148*-0.25</f>
        <v>-9.9150000000000016E-2</v>
      </c>
      <c r="V148">
        <f>J148*0.5+I148*-0.5</f>
        <v>-7.7935000000000004E-2</v>
      </c>
      <c r="W148">
        <f>M148*0.5+G148*0.25+I148*0.25</f>
        <v>0.4965</v>
      </c>
    </row>
    <row r="149" spans="1:23" x14ac:dyDescent="0.2">
      <c r="A149">
        <v>2.92E-2</v>
      </c>
      <c r="B149">
        <v>8</v>
      </c>
      <c r="C149">
        <v>4</v>
      </c>
      <c r="D149">
        <v>0.13600000000000001</v>
      </c>
      <c r="E149">
        <v>-3.7559999999999998</v>
      </c>
      <c r="F149">
        <v>258920</v>
      </c>
      <c r="G149">
        <v>0.51300000000000001</v>
      </c>
      <c r="H149">
        <v>231</v>
      </c>
      <c r="I149">
        <v>0.40500000000000003</v>
      </c>
      <c r="J149">
        <v>9.3199999999999999E-4</v>
      </c>
      <c r="K149" t="s">
        <v>213</v>
      </c>
      <c r="L149">
        <v>21</v>
      </c>
      <c r="M149">
        <v>0.877</v>
      </c>
      <c r="N149">
        <v>145.91900000000001</v>
      </c>
      <c r="O149">
        <v>1.63E-4</v>
      </c>
      <c r="P149">
        <v>1</v>
      </c>
      <c r="Q149">
        <v>14</v>
      </c>
      <c r="R149" t="s">
        <v>38</v>
      </c>
      <c r="S149" t="s">
        <v>214</v>
      </c>
      <c r="T149">
        <f>I149*-0.5+M149*0.5</f>
        <v>0.23599999999999999</v>
      </c>
      <c r="U149">
        <f>I149*0.7+M149*-0.25+D149*-0.25</f>
        <v>3.0249999999999971E-2</v>
      </c>
      <c r="V149">
        <f>J149*0.5+I149*-0.5</f>
        <v>-0.20203400000000002</v>
      </c>
      <c r="W149">
        <f>M149*0.5+G149*0.25+I149*0.25</f>
        <v>0.66799999999999993</v>
      </c>
    </row>
    <row r="150" spans="1:23" x14ac:dyDescent="0.2">
      <c r="A150">
        <v>0.248</v>
      </c>
      <c r="B150">
        <v>4</v>
      </c>
      <c r="C150">
        <v>4</v>
      </c>
      <c r="D150">
        <v>0.182</v>
      </c>
      <c r="E150">
        <v>-4.4109999999999996</v>
      </c>
      <c r="F150">
        <v>250760</v>
      </c>
      <c r="G150">
        <v>0.59199999999999997</v>
      </c>
      <c r="H150">
        <v>250</v>
      </c>
      <c r="I150">
        <v>0.20699999999999999</v>
      </c>
      <c r="J150">
        <v>0.24199999999999999</v>
      </c>
      <c r="K150" t="s">
        <v>1215</v>
      </c>
      <c r="L150">
        <v>19</v>
      </c>
      <c r="M150">
        <v>0.67800000000000005</v>
      </c>
      <c r="N150">
        <v>83.975999999999999</v>
      </c>
      <c r="O150">
        <v>0</v>
      </c>
      <c r="P150">
        <v>0</v>
      </c>
      <c r="Q150">
        <v>6</v>
      </c>
      <c r="R150" t="s">
        <v>1216</v>
      </c>
      <c r="S150" t="s">
        <v>1217</v>
      </c>
      <c r="T150">
        <f>I150*-0.5+M150*0.5</f>
        <v>0.23550000000000004</v>
      </c>
      <c r="U150">
        <f>I150*0.7+M150*-0.25+D150*-0.25</f>
        <v>-7.0100000000000037E-2</v>
      </c>
      <c r="V150">
        <f>J150*0.5+I150*-0.5</f>
        <v>1.7500000000000002E-2</v>
      </c>
      <c r="W150">
        <f>M150*0.5+G150*0.25+I150*0.25</f>
        <v>0.53874999999999995</v>
      </c>
    </row>
    <row r="151" spans="1:23" x14ac:dyDescent="0.2">
      <c r="A151">
        <v>5.0900000000000001E-2</v>
      </c>
      <c r="B151">
        <v>9</v>
      </c>
      <c r="C151">
        <v>4</v>
      </c>
      <c r="D151">
        <v>0.14399999999999999</v>
      </c>
      <c r="E151">
        <v>-4.0060000000000002</v>
      </c>
      <c r="F151">
        <v>211493</v>
      </c>
      <c r="G151">
        <v>0.52600000000000002</v>
      </c>
      <c r="H151">
        <v>211</v>
      </c>
      <c r="I151">
        <v>0.41199999999999998</v>
      </c>
      <c r="J151">
        <v>1.4E-3</v>
      </c>
      <c r="K151" t="s">
        <v>210</v>
      </c>
      <c r="L151">
        <v>31</v>
      </c>
      <c r="M151">
        <v>0.88200000000000001</v>
      </c>
      <c r="N151">
        <v>144.982</v>
      </c>
      <c r="O151">
        <v>0</v>
      </c>
      <c r="P151">
        <v>1</v>
      </c>
      <c r="Q151">
        <v>14</v>
      </c>
      <c r="R151" t="s">
        <v>211</v>
      </c>
      <c r="S151" t="s">
        <v>212</v>
      </c>
      <c r="T151">
        <f>I151*-0.5+M151*0.5</f>
        <v>0.23500000000000001</v>
      </c>
      <c r="U151">
        <f>I151*0.7+M151*-0.25+D151*-0.25</f>
        <v>3.1899999999999991E-2</v>
      </c>
      <c r="V151">
        <f>J151*0.5+I151*-0.5</f>
        <v>-0.20529999999999998</v>
      </c>
      <c r="W151">
        <f>M151*0.5+G151*0.25+I151*0.25</f>
        <v>0.67549999999999999</v>
      </c>
    </row>
    <row r="152" spans="1:23" x14ac:dyDescent="0.2">
      <c r="A152">
        <v>3.1199999999999999E-2</v>
      </c>
      <c r="B152">
        <v>11</v>
      </c>
      <c r="C152">
        <v>4</v>
      </c>
      <c r="D152">
        <v>9.8699999999999996E-2</v>
      </c>
      <c r="E152">
        <v>-8.0289999999999999</v>
      </c>
      <c r="F152">
        <v>222907</v>
      </c>
      <c r="G152">
        <v>0.60799999999999998</v>
      </c>
      <c r="H152">
        <v>219</v>
      </c>
      <c r="I152">
        <v>0.22800000000000001</v>
      </c>
      <c r="J152">
        <v>0.32100000000000001</v>
      </c>
      <c r="K152" t="s">
        <v>1525</v>
      </c>
      <c r="L152">
        <v>33</v>
      </c>
      <c r="M152">
        <v>0.69799999999999995</v>
      </c>
      <c r="N152">
        <v>139.989</v>
      </c>
      <c r="O152">
        <v>4.8299999999999998E-4</v>
      </c>
      <c r="P152">
        <v>1</v>
      </c>
      <c r="Q152">
        <v>18</v>
      </c>
      <c r="R152" t="s">
        <v>1526</v>
      </c>
      <c r="S152" t="s">
        <v>1527</v>
      </c>
      <c r="T152">
        <f>I152*-0.5+M152*0.5</f>
        <v>0.23499999999999999</v>
      </c>
      <c r="U152">
        <f>I152*0.7+M152*-0.25+D152*-0.25</f>
        <v>-3.9574999999999999E-2</v>
      </c>
      <c r="V152">
        <f>J152*0.5+I152*-0.5</f>
        <v>4.65E-2</v>
      </c>
      <c r="W152">
        <f>M152*0.5+G152*0.25+I152*0.25</f>
        <v>0.55800000000000005</v>
      </c>
    </row>
    <row r="153" spans="1:23" x14ac:dyDescent="0.2">
      <c r="A153">
        <v>0.16700000000000001</v>
      </c>
      <c r="B153">
        <v>0</v>
      </c>
      <c r="C153">
        <v>4</v>
      </c>
      <c r="D153">
        <v>6.9400000000000003E-2</v>
      </c>
      <c r="E153">
        <v>-4.0289999999999999</v>
      </c>
      <c r="F153">
        <v>199453</v>
      </c>
      <c r="G153">
        <v>0.375</v>
      </c>
      <c r="H153">
        <v>197</v>
      </c>
      <c r="I153">
        <v>0.35299999999999998</v>
      </c>
      <c r="J153">
        <v>7.1599999999999997E-2</v>
      </c>
      <c r="K153" t="s">
        <v>458</v>
      </c>
      <c r="L153">
        <v>57</v>
      </c>
      <c r="M153">
        <v>0.82199999999999995</v>
      </c>
      <c r="N153">
        <v>123.363</v>
      </c>
      <c r="O153">
        <v>0</v>
      </c>
      <c r="P153">
        <v>1</v>
      </c>
      <c r="Q153">
        <v>8</v>
      </c>
      <c r="R153" t="s">
        <v>459</v>
      </c>
      <c r="S153" t="s">
        <v>460</v>
      </c>
      <c r="T153">
        <f>I153*-0.5+M153*0.5</f>
        <v>0.23449999999999999</v>
      </c>
      <c r="U153">
        <f>I153*0.7+M153*-0.25+D153*-0.25</f>
        <v>2.4249999999999969E-2</v>
      </c>
      <c r="V153">
        <f>J153*0.5+I153*-0.5</f>
        <v>-0.14069999999999999</v>
      </c>
      <c r="W153">
        <f>M153*0.5+G153*0.25+I153*0.25</f>
        <v>0.59299999999999997</v>
      </c>
    </row>
    <row r="154" spans="1:23" x14ac:dyDescent="0.2">
      <c r="A154">
        <v>4.0300000000000002E-2</v>
      </c>
      <c r="B154">
        <v>1</v>
      </c>
      <c r="C154">
        <v>5</v>
      </c>
      <c r="D154">
        <v>8.77E-2</v>
      </c>
      <c r="E154">
        <v>-6.29</v>
      </c>
      <c r="F154">
        <v>197320</v>
      </c>
      <c r="G154">
        <v>0.42299999999999999</v>
      </c>
      <c r="H154">
        <v>194</v>
      </c>
      <c r="I154">
        <v>0.30299999999999999</v>
      </c>
      <c r="J154">
        <v>9.2100000000000005E-4</v>
      </c>
      <c r="K154" t="s">
        <v>299</v>
      </c>
      <c r="L154">
        <v>28</v>
      </c>
      <c r="M154">
        <v>0.77100000000000002</v>
      </c>
      <c r="N154">
        <v>111.72799999999999</v>
      </c>
      <c r="O154">
        <v>0</v>
      </c>
      <c r="P154">
        <v>1</v>
      </c>
      <c r="Q154">
        <v>7</v>
      </c>
      <c r="R154" t="s">
        <v>300</v>
      </c>
      <c r="S154" t="s">
        <v>301</v>
      </c>
      <c r="T154">
        <f>I154*-0.5+M154*0.5</f>
        <v>0.23400000000000001</v>
      </c>
      <c r="U154">
        <f>I154*0.7+M154*-0.25+D154*-0.25</f>
        <v>-2.5750000000000217E-3</v>
      </c>
      <c r="V154">
        <f>J154*0.5+I154*-0.5</f>
        <v>-0.15103949999999999</v>
      </c>
      <c r="W154">
        <f>M154*0.5+G154*0.25+I154*0.25</f>
        <v>0.56700000000000006</v>
      </c>
    </row>
    <row r="155" spans="1:23" x14ac:dyDescent="0.2">
      <c r="A155">
        <v>3.3099999999999997E-2</v>
      </c>
      <c r="B155">
        <v>9</v>
      </c>
      <c r="C155">
        <v>4</v>
      </c>
      <c r="D155">
        <v>0.14799999999999999</v>
      </c>
      <c r="E155">
        <v>-2.7869999999999999</v>
      </c>
      <c r="F155">
        <v>222160</v>
      </c>
      <c r="G155">
        <v>0.63</v>
      </c>
      <c r="H155">
        <v>218</v>
      </c>
      <c r="I155">
        <v>0.46</v>
      </c>
      <c r="J155">
        <v>0.19900000000000001</v>
      </c>
      <c r="K155" t="s">
        <v>625</v>
      </c>
      <c r="L155">
        <v>60</v>
      </c>
      <c r="M155">
        <v>0.92800000000000005</v>
      </c>
      <c r="N155">
        <v>123.96299999999999</v>
      </c>
      <c r="O155">
        <v>0.124</v>
      </c>
      <c r="P155">
        <v>0</v>
      </c>
      <c r="Q155">
        <v>1</v>
      </c>
      <c r="R155" t="s">
        <v>626</v>
      </c>
      <c r="S155" t="s">
        <v>627</v>
      </c>
      <c r="T155">
        <f>I155*-0.5+M155*0.5</f>
        <v>0.23400000000000001</v>
      </c>
      <c r="U155">
        <f>I155*0.7+M155*-0.25+D155*-0.25</f>
        <v>5.2999999999999999E-2</v>
      </c>
      <c r="V155">
        <f>J155*0.5+I155*-0.5</f>
        <v>-0.1305</v>
      </c>
      <c r="W155">
        <f>M155*0.5+G155*0.25+I155*0.25</f>
        <v>0.73650000000000004</v>
      </c>
    </row>
    <row r="156" spans="1:23" x14ac:dyDescent="0.2">
      <c r="A156">
        <v>3.5200000000000002E-2</v>
      </c>
      <c r="B156">
        <v>1</v>
      </c>
      <c r="C156">
        <v>4</v>
      </c>
      <c r="D156">
        <v>7.1599999999999997E-2</v>
      </c>
      <c r="E156">
        <v>-4.95</v>
      </c>
      <c r="F156">
        <v>216067</v>
      </c>
      <c r="G156">
        <v>0.53100000000000003</v>
      </c>
      <c r="H156">
        <v>215</v>
      </c>
      <c r="I156">
        <v>0.39</v>
      </c>
      <c r="J156">
        <v>9.8299999999999993E-4</v>
      </c>
      <c r="K156" t="s">
        <v>252</v>
      </c>
      <c r="L156">
        <v>7</v>
      </c>
      <c r="M156">
        <v>0.85499999999999998</v>
      </c>
      <c r="N156">
        <v>124.578</v>
      </c>
      <c r="O156">
        <v>0</v>
      </c>
      <c r="P156">
        <v>1</v>
      </c>
      <c r="Q156">
        <v>16</v>
      </c>
      <c r="R156" t="s">
        <v>128</v>
      </c>
      <c r="S156" t="s">
        <v>253</v>
      </c>
      <c r="T156">
        <f>I156*-0.5+M156*0.5</f>
        <v>0.23249999999999998</v>
      </c>
      <c r="U156">
        <f>I156*0.7+M156*-0.25+D156*-0.25</f>
        <v>4.134999999999997E-2</v>
      </c>
      <c r="V156">
        <f>J156*0.5+I156*-0.5</f>
        <v>-0.1945085</v>
      </c>
      <c r="W156">
        <f>M156*0.5+G156*0.25+I156*0.25</f>
        <v>0.65775000000000006</v>
      </c>
    </row>
    <row r="157" spans="1:23" x14ac:dyDescent="0.2">
      <c r="A157">
        <v>6.2199999999999998E-2</v>
      </c>
      <c r="B157">
        <v>11</v>
      </c>
      <c r="C157">
        <v>4</v>
      </c>
      <c r="D157">
        <v>8.8900000000000007E-2</v>
      </c>
      <c r="E157">
        <v>-5.226</v>
      </c>
      <c r="F157">
        <v>224400</v>
      </c>
      <c r="G157">
        <v>0.72399999999999998</v>
      </c>
      <c r="H157">
        <v>222</v>
      </c>
      <c r="I157">
        <v>0.23100000000000001</v>
      </c>
      <c r="J157">
        <v>7.2999999999999995E-2</v>
      </c>
      <c r="K157" t="s">
        <v>622</v>
      </c>
      <c r="L157">
        <v>30</v>
      </c>
      <c r="M157">
        <v>0.69499999999999995</v>
      </c>
      <c r="N157">
        <v>139</v>
      </c>
      <c r="O157">
        <v>0</v>
      </c>
      <c r="P157">
        <v>1</v>
      </c>
      <c r="Q157">
        <v>2</v>
      </c>
      <c r="R157" t="s">
        <v>623</v>
      </c>
      <c r="S157" t="s">
        <v>624</v>
      </c>
      <c r="T157">
        <f>I157*-0.5+M157*0.5</f>
        <v>0.23199999999999998</v>
      </c>
      <c r="U157">
        <f>I157*0.7+M157*-0.25+D157*-0.25</f>
        <v>-3.4274999999999979E-2</v>
      </c>
      <c r="V157">
        <f>J157*0.5+I157*-0.5</f>
        <v>-7.9000000000000015E-2</v>
      </c>
      <c r="W157">
        <f>M157*0.5+G157*0.25+I157*0.25</f>
        <v>0.58624999999999994</v>
      </c>
    </row>
    <row r="158" spans="1:23" x14ac:dyDescent="0.2">
      <c r="A158">
        <v>5.6099999999999997E-2</v>
      </c>
      <c r="B158">
        <v>4</v>
      </c>
      <c r="C158">
        <v>4</v>
      </c>
      <c r="D158">
        <v>0.309</v>
      </c>
      <c r="E158">
        <v>-7.0549999999999997</v>
      </c>
      <c r="F158">
        <v>226739</v>
      </c>
      <c r="G158">
        <v>0.71299999999999997</v>
      </c>
      <c r="H158">
        <v>223</v>
      </c>
      <c r="I158">
        <v>0.33900000000000002</v>
      </c>
      <c r="J158">
        <v>4.3499999999999997E-2</v>
      </c>
      <c r="K158" t="s">
        <v>429</v>
      </c>
      <c r="L158">
        <v>58</v>
      </c>
      <c r="M158">
        <v>0.80200000000000005</v>
      </c>
      <c r="N158">
        <v>100.001</v>
      </c>
      <c r="O158">
        <v>3.7699999999999999E-3</v>
      </c>
      <c r="P158">
        <v>1</v>
      </c>
      <c r="Q158">
        <v>4</v>
      </c>
      <c r="R158" t="s">
        <v>430</v>
      </c>
      <c r="S158" t="s">
        <v>431</v>
      </c>
      <c r="T158">
        <f>I158*-0.5+M158*0.5</f>
        <v>0.23150000000000001</v>
      </c>
      <c r="U158">
        <f>I158*0.7+M158*-0.25+D158*-0.25</f>
        <v>-4.045E-2</v>
      </c>
      <c r="V158">
        <f>J158*0.5+I158*-0.5</f>
        <v>-0.14775000000000002</v>
      </c>
      <c r="W158">
        <f>M158*0.5+G158*0.25+I158*0.25</f>
        <v>0.66400000000000003</v>
      </c>
    </row>
    <row r="159" spans="1:23" x14ac:dyDescent="0.2">
      <c r="A159">
        <v>0.161</v>
      </c>
      <c r="B159">
        <v>6</v>
      </c>
      <c r="C159">
        <v>4</v>
      </c>
      <c r="D159">
        <v>0.13500000000000001</v>
      </c>
      <c r="E159">
        <v>-5.2750000000000004</v>
      </c>
      <c r="F159">
        <v>219253</v>
      </c>
      <c r="G159">
        <v>0.495</v>
      </c>
      <c r="H159">
        <v>217</v>
      </c>
      <c r="I159">
        <v>0.42499999999999999</v>
      </c>
      <c r="J159">
        <v>9.8200000000000006E-3</v>
      </c>
      <c r="K159" t="s">
        <v>239</v>
      </c>
      <c r="L159">
        <v>57</v>
      </c>
      <c r="M159">
        <v>0.88800000000000001</v>
      </c>
      <c r="N159">
        <v>171.863</v>
      </c>
      <c r="O159">
        <v>1.36E-4</v>
      </c>
      <c r="P159">
        <v>0</v>
      </c>
      <c r="Q159">
        <v>21</v>
      </c>
      <c r="R159" t="s">
        <v>240</v>
      </c>
      <c r="S159" t="s">
        <v>241</v>
      </c>
      <c r="T159">
        <f>I159*-0.5+M159*0.5</f>
        <v>0.23150000000000001</v>
      </c>
      <c r="U159">
        <f>I159*0.7+M159*-0.25+D159*-0.25</f>
        <v>4.1749999999999982E-2</v>
      </c>
      <c r="V159">
        <f>J159*0.5+I159*-0.5</f>
        <v>-0.20759</v>
      </c>
      <c r="W159">
        <f>M159*0.5+G159*0.25+I159*0.25</f>
        <v>0.67399999999999993</v>
      </c>
    </row>
    <row r="160" spans="1:23" x14ac:dyDescent="0.2">
      <c r="A160">
        <v>2.6800000000000001E-2</v>
      </c>
      <c r="B160">
        <v>1</v>
      </c>
      <c r="C160">
        <v>4</v>
      </c>
      <c r="D160">
        <v>8.4500000000000006E-2</v>
      </c>
      <c r="E160">
        <v>-6.6660000000000004</v>
      </c>
      <c r="F160">
        <v>249573</v>
      </c>
      <c r="G160">
        <v>0.56799999999999995</v>
      </c>
      <c r="H160">
        <v>246</v>
      </c>
      <c r="I160">
        <v>0.182</v>
      </c>
      <c r="J160">
        <v>0.34300000000000003</v>
      </c>
      <c r="K160" t="s">
        <v>1756</v>
      </c>
      <c r="L160">
        <v>56</v>
      </c>
      <c r="M160">
        <v>0.64400000000000002</v>
      </c>
      <c r="N160">
        <v>94.040999999999997</v>
      </c>
      <c r="O160">
        <v>0</v>
      </c>
      <c r="P160">
        <v>1</v>
      </c>
      <c r="Q160">
        <v>21</v>
      </c>
      <c r="R160" t="s">
        <v>1757</v>
      </c>
      <c r="S160" t="s">
        <v>1758</v>
      </c>
      <c r="T160">
        <f>I160*-0.5+M160*0.5</f>
        <v>0.23100000000000001</v>
      </c>
      <c r="U160">
        <f>I160*0.7+M160*-0.25+D160*-0.25</f>
        <v>-5.4725000000000024E-2</v>
      </c>
      <c r="V160">
        <f>J160*0.5+I160*-0.5</f>
        <v>8.0500000000000016E-2</v>
      </c>
      <c r="W160">
        <f>M160*0.5+G160*0.25+I160*0.25</f>
        <v>0.50949999999999995</v>
      </c>
    </row>
    <row r="161" spans="1:23" x14ac:dyDescent="0.2">
      <c r="A161">
        <v>3.9899999999999998E-2</v>
      </c>
      <c r="B161">
        <v>7</v>
      </c>
      <c r="C161">
        <v>4</v>
      </c>
      <c r="D161">
        <v>0.127</v>
      </c>
      <c r="E161">
        <v>-2.1890000000000001</v>
      </c>
      <c r="F161">
        <v>192000</v>
      </c>
      <c r="G161">
        <v>0.54500000000000004</v>
      </c>
      <c r="H161">
        <v>189</v>
      </c>
      <c r="I161">
        <v>0.47199999999999998</v>
      </c>
      <c r="J161">
        <v>6.6500000000000001E-4</v>
      </c>
      <c r="K161" t="s">
        <v>177</v>
      </c>
      <c r="L161">
        <v>24</v>
      </c>
      <c r="M161">
        <v>0.93200000000000005</v>
      </c>
      <c r="N161">
        <v>92.956000000000003</v>
      </c>
      <c r="O161">
        <v>0</v>
      </c>
      <c r="P161">
        <v>0</v>
      </c>
      <c r="Q161">
        <v>16</v>
      </c>
      <c r="R161" t="s">
        <v>178</v>
      </c>
      <c r="S161" t="s">
        <v>179</v>
      </c>
      <c r="T161">
        <f>I161*-0.5+M161*0.5</f>
        <v>0.23000000000000004</v>
      </c>
      <c r="U161">
        <f>I161*0.7+M161*-0.25+D161*-0.25</f>
        <v>6.5649999999999958E-2</v>
      </c>
      <c r="V161">
        <f>J161*0.5+I161*-0.5</f>
        <v>-0.23566749999999997</v>
      </c>
      <c r="W161">
        <f>M161*0.5+G161*0.25+I161*0.25</f>
        <v>0.72025000000000006</v>
      </c>
    </row>
    <row r="162" spans="1:23" x14ac:dyDescent="0.2">
      <c r="A162">
        <v>9.98E-2</v>
      </c>
      <c r="B162">
        <v>7</v>
      </c>
      <c r="C162">
        <v>4</v>
      </c>
      <c r="D162">
        <v>0.154</v>
      </c>
      <c r="E162">
        <v>-4.7160000000000002</v>
      </c>
      <c r="F162">
        <v>223021</v>
      </c>
      <c r="G162">
        <v>0.61899999999999999</v>
      </c>
      <c r="H162">
        <v>202</v>
      </c>
      <c r="I162">
        <v>0.42799999999999999</v>
      </c>
      <c r="J162">
        <v>3.3000000000000002E-2</v>
      </c>
      <c r="K162" t="s">
        <v>282</v>
      </c>
      <c r="L162">
        <v>53</v>
      </c>
      <c r="M162">
        <v>0.88600000000000001</v>
      </c>
      <c r="N162">
        <v>105.97799999999999</v>
      </c>
      <c r="O162" s="1">
        <v>3.2600000000000001E-6</v>
      </c>
      <c r="P162">
        <v>1</v>
      </c>
      <c r="Q162">
        <v>18</v>
      </c>
      <c r="R162" t="s">
        <v>283</v>
      </c>
      <c r="S162" t="s">
        <v>284</v>
      </c>
      <c r="T162">
        <f>I162*-0.5+M162*0.5</f>
        <v>0.22900000000000001</v>
      </c>
      <c r="U162">
        <f>I162*0.7+M162*-0.25+D162*-0.25</f>
        <v>3.9599999999999975E-2</v>
      </c>
      <c r="V162">
        <f>J162*0.5+I162*-0.5</f>
        <v>-0.19750000000000001</v>
      </c>
      <c r="W162">
        <f>M162*0.5+G162*0.25+I162*0.25</f>
        <v>0.70474999999999999</v>
      </c>
    </row>
    <row r="163" spans="1:23" x14ac:dyDescent="0.2">
      <c r="A163">
        <v>4.8099999999999997E-2</v>
      </c>
      <c r="B163">
        <v>2</v>
      </c>
      <c r="C163">
        <v>4</v>
      </c>
      <c r="D163">
        <v>0.38200000000000001</v>
      </c>
      <c r="E163">
        <v>-6.4740000000000002</v>
      </c>
      <c r="F163">
        <v>248067</v>
      </c>
      <c r="G163">
        <v>0.53700000000000003</v>
      </c>
      <c r="H163">
        <v>244</v>
      </c>
      <c r="I163">
        <v>0.46300000000000002</v>
      </c>
      <c r="J163">
        <v>1.44E-2</v>
      </c>
      <c r="K163" t="s">
        <v>231</v>
      </c>
      <c r="L163">
        <v>6</v>
      </c>
      <c r="M163">
        <v>0.92100000000000004</v>
      </c>
      <c r="N163">
        <v>136.26400000000001</v>
      </c>
      <c r="O163">
        <v>4.79E-3</v>
      </c>
      <c r="P163">
        <v>1</v>
      </c>
      <c r="Q163">
        <v>18</v>
      </c>
      <c r="R163" t="s">
        <v>232</v>
      </c>
      <c r="S163" t="s">
        <v>233</v>
      </c>
      <c r="T163">
        <f>I163*-0.5+M163*0.5</f>
        <v>0.22900000000000001</v>
      </c>
      <c r="U163">
        <f>I163*0.7+M163*-0.25+D163*-0.25</f>
        <v>-1.6500000000000126E-3</v>
      </c>
      <c r="V163">
        <f>J163*0.5+I163*-0.5</f>
        <v>-0.2243</v>
      </c>
      <c r="W163">
        <f>M163*0.5+G163*0.25+I163*0.25</f>
        <v>0.71050000000000002</v>
      </c>
    </row>
    <row r="164" spans="1:23" x14ac:dyDescent="0.2">
      <c r="A164">
        <v>3.15E-2</v>
      </c>
      <c r="B164">
        <v>0</v>
      </c>
      <c r="C164">
        <v>4</v>
      </c>
      <c r="D164">
        <v>0.113</v>
      </c>
      <c r="E164">
        <v>-5.407</v>
      </c>
      <c r="F164">
        <v>278747</v>
      </c>
      <c r="G164">
        <v>0.58299999999999996</v>
      </c>
      <c r="H164">
        <v>276</v>
      </c>
      <c r="I164">
        <v>0.19800000000000001</v>
      </c>
      <c r="J164">
        <v>0.111</v>
      </c>
      <c r="K164" t="s">
        <v>826</v>
      </c>
      <c r="L164">
        <v>50</v>
      </c>
      <c r="M164">
        <v>0.65500000000000003</v>
      </c>
      <c r="N164">
        <v>119.759</v>
      </c>
      <c r="O164" s="1">
        <v>3.5700000000000001E-6</v>
      </c>
      <c r="P164">
        <v>1</v>
      </c>
      <c r="Q164">
        <v>13</v>
      </c>
      <c r="R164" t="s">
        <v>827</v>
      </c>
      <c r="S164" t="s">
        <v>828</v>
      </c>
      <c r="T164">
        <f>I164*-0.5+M164*0.5</f>
        <v>0.22850000000000001</v>
      </c>
      <c r="U164">
        <f>I164*0.7+M164*-0.25+D164*-0.25</f>
        <v>-5.3400000000000003E-2</v>
      </c>
      <c r="V164">
        <f>J164*0.5+I164*-0.5</f>
        <v>-4.3500000000000004E-2</v>
      </c>
      <c r="W164">
        <f>M164*0.5+G164*0.25+I164*0.25</f>
        <v>0.52275000000000005</v>
      </c>
    </row>
    <row r="165" spans="1:23" x14ac:dyDescent="0.2">
      <c r="A165">
        <v>0.27900000000000003</v>
      </c>
      <c r="B165">
        <v>11</v>
      </c>
      <c r="C165">
        <v>4</v>
      </c>
      <c r="D165">
        <v>5.8299999999999998E-2</v>
      </c>
      <c r="E165">
        <v>-5.04</v>
      </c>
      <c r="F165">
        <v>263880</v>
      </c>
      <c r="G165">
        <v>0.44700000000000001</v>
      </c>
      <c r="H165">
        <v>261</v>
      </c>
      <c r="I165">
        <v>0.312</v>
      </c>
      <c r="J165">
        <v>4.6699999999999998E-2</v>
      </c>
      <c r="K165" t="s">
        <v>509</v>
      </c>
      <c r="L165">
        <v>28</v>
      </c>
      <c r="M165">
        <v>0.76800000000000002</v>
      </c>
      <c r="N165">
        <v>159.846</v>
      </c>
      <c r="O165">
        <v>0</v>
      </c>
      <c r="P165">
        <v>1</v>
      </c>
      <c r="Q165">
        <v>9</v>
      </c>
      <c r="R165" t="s">
        <v>510</v>
      </c>
      <c r="S165" t="s">
        <v>511</v>
      </c>
      <c r="T165">
        <f>I165*-0.5+M165*0.5</f>
        <v>0.22800000000000001</v>
      </c>
      <c r="U165">
        <f>I165*0.7+M165*-0.25+D165*-0.25</f>
        <v>1.182499999999998E-2</v>
      </c>
      <c r="V165">
        <f>J165*0.5+I165*-0.5</f>
        <v>-0.13264999999999999</v>
      </c>
      <c r="W165">
        <f>M165*0.5+G165*0.25+I165*0.25</f>
        <v>0.57374999999999998</v>
      </c>
    </row>
    <row r="166" spans="1:23" x14ac:dyDescent="0.2">
      <c r="A166">
        <v>6.3500000000000001E-2</v>
      </c>
      <c r="B166">
        <v>1</v>
      </c>
      <c r="C166">
        <v>4</v>
      </c>
      <c r="D166">
        <v>0.17799999999999999</v>
      </c>
      <c r="E166">
        <v>-4.0119999999999996</v>
      </c>
      <c r="F166">
        <v>206520</v>
      </c>
      <c r="G166">
        <v>0.42299999999999999</v>
      </c>
      <c r="H166">
        <v>206</v>
      </c>
      <c r="I166">
        <v>0.48399999999999999</v>
      </c>
      <c r="J166">
        <v>1.66E-3</v>
      </c>
      <c r="K166" t="s">
        <v>183</v>
      </c>
      <c r="L166">
        <v>25</v>
      </c>
      <c r="M166">
        <v>0.94</v>
      </c>
      <c r="N166">
        <v>149.934</v>
      </c>
      <c r="O166">
        <v>0</v>
      </c>
      <c r="P166">
        <v>0</v>
      </c>
      <c r="Q166">
        <v>16</v>
      </c>
      <c r="R166" t="s">
        <v>79</v>
      </c>
      <c r="S166" t="s">
        <v>184</v>
      </c>
      <c r="T166">
        <f>I166*-0.5+M166*0.5</f>
        <v>0.22799999999999998</v>
      </c>
      <c r="U166">
        <f>I166*0.7+M166*-0.25+D166*-0.25</f>
        <v>5.9300000000000005E-2</v>
      </c>
      <c r="V166">
        <f>J166*0.5+I166*-0.5</f>
        <v>-0.24117</v>
      </c>
      <c r="W166">
        <f>M166*0.5+G166*0.25+I166*0.25</f>
        <v>0.69674999999999998</v>
      </c>
    </row>
    <row r="167" spans="1:23" x14ac:dyDescent="0.2">
      <c r="A167">
        <v>6.6900000000000001E-2</v>
      </c>
      <c r="B167">
        <v>10</v>
      </c>
      <c r="C167">
        <v>4</v>
      </c>
      <c r="D167">
        <v>0.11600000000000001</v>
      </c>
      <c r="E167">
        <v>-6.1970000000000001</v>
      </c>
      <c r="F167">
        <v>205746</v>
      </c>
      <c r="G167">
        <v>0.60599999999999998</v>
      </c>
      <c r="H167">
        <v>203</v>
      </c>
      <c r="I167">
        <v>0.308</v>
      </c>
      <c r="J167">
        <v>1.82E-3</v>
      </c>
      <c r="K167" t="s">
        <v>396</v>
      </c>
      <c r="L167">
        <v>57</v>
      </c>
      <c r="M167">
        <v>0.76300000000000001</v>
      </c>
      <c r="N167">
        <v>130.018</v>
      </c>
      <c r="O167">
        <v>1.5899999999999999E-4</v>
      </c>
      <c r="P167">
        <v>0</v>
      </c>
      <c r="Q167">
        <v>2</v>
      </c>
      <c r="R167" t="s">
        <v>397</v>
      </c>
      <c r="S167" t="s">
        <v>398</v>
      </c>
      <c r="T167">
        <f>I167*-0.5+M167*0.5</f>
        <v>0.22750000000000001</v>
      </c>
      <c r="U167">
        <f>I167*0.7+M167*-0.25+D167*-0.25</f>
        <v>-4.1500000000000183E-3</v>
      </c>
      <c r="V167">
        <f>J167*0.5+I167*-0.5</f>
        <v>-0.15309</v>
      </c>
      <c r="W167">
        <f>M167*0.5+G167*0.25+I167*0.25</f>
        <v>0.61</v>
      </c>
    </row>
    <row r="168" spans="1:23" x14ac:dyDescent="0.2">
      <c r="A168">
        <v>4.4999999999999998E-2</v>
      </c>
      <c r="B168">
        <v>11</v>
      </c>
      <c r="C168">
        <v>4</v>
      </c>
      <c r="D168">
        <v>0.25700000000000001</v>
      </c>
      <c r="E168">
        <v>-3.1059999999999999</v>
      </c>
      <c r="F168">
        <v>215160</v>
      </c>
      <c r="G168">
        <v>0.53500000000000003</v>
      </c>
      <c r="H168">
        <v>213</v>
      </c>
      <c r="I168">
        <v>0.432</v>
      </c>
      <c r="J168">
        <v>3.0400000000000002E-4</v>
      </c>
      <c r="K168" t="s">
        <v>242</v>
      </c>
      <c r="L168">
        <v>29</v>
      </c>
      <c r="M168">
        <v>0.88600000000000001</v>
      </c>
      <c r="N168">
        <v>126.012</v>
      </c>
      <c r="O168" s="1">
        <v>2.26E-6</v>
      </c>
      <c r="P168">
        <v>1</v>
      </c>
      <c r="Q168">
        <v>1</v>
      </c>
      <c r="R168" t="s">
        <v>243</v>
      </c>
      <c r="S168" t="s">
        <v>244</v>
      </c>
      <c r="T168">
        <f>I168*-0.5+M168*0.5</f>
        <v>0.22700000000000001</v>
      </c>
      <c r="U168">
        <f>I168*0.7+M168*-0.25+D168*-0.25</f>
        <v>1.6649999999999998E-2</v>
      </c>
      <c r="V168">
        <f>J168*0.5+I168*-0.5</f>
        <v>-0.21584799999999998</v>
      </c>
      <c r="W168">
        <f>M168*0.5+G168*0.25+I168*0.25</f>
        <v>0.68474999999999997</v>
      </c>
    </row>
    <row r="169" spans="1:23" x14ac:dyDescent="0.2">
      <c r="A169">
        <v>4.7600000000000003E-2</v>
      </c>
      <c r="B169">
        <v>10</v>
      </c>
      <c r="C169">
        <v>4</v>
      </c>
      <c r="D169">
        <v>0.10100000000000001</v>
      </c>
      <c r="E169">
        <v>-5.0309999999999997</v>
      </c>
      <c r="F169">
        <v>231212</v>
      </c>
      <c r="G169">
        <v>0.51600000000000001</v>
      </c>
      <c r="H169">
        <v>229</v>
      </c>
      <c r="I169">
        <v>0.31900000000000001</v>
      </c>
      <c r="J169">
        <v>0.29599999999999999</v>
      </c>
      <c r="K169" t="s">
        <v>1294</v>
      </c>
      <c r="L169">
        <v>49</v>
      </c>
      <c r="M169">
        <v>0.77200000000000002</v>
      </c>
      <c r="N169">
        <v>87.037999999999997</v>
      </c>
      <c r="O169">
        <v>0</v>
      </c>
      <c r="P169">
        <v>0</v>
      </c>
      <c r="Q169">
        <v>12</v>
      </c>
      <c r="R169" t="s">
        <v>267</v>
      </c>
      <c r="S169" t="s">
        <v>1295</v>
      </c>
      <c r="T169">
        <f>I169*-0.5+M169*0.5</f>
        <v>0.22650000000000001</v>
      </c>
      <c r="U169">
        <f>I169*0.7+M169*-0.25+D169*-0.25</f>
        <v>5.049999999999992E-3</v>
      </c>
      <c r="V169">
        <f>J169*0.5+I169*-0.5</f>
        <v>-1.150000000000001E-2</v>
      </c>
      <c r="W169">
        <f>M169*0.5+G169*0.25+I169*0.25</f>
        <v>0.59475</v>
      </c>
    </row>
    <row r="170" spans="1:23" x14ac:dyDescent="0.2">
      <c r="A170">
        <v>2.6200000000000001E-2</v>
      </c>
      <c r="B170">
        <v>5</v>
      </c>
      <c r="C170">
        <v>4</v>
      </c>
      <c r="D170">
        <v>0.14299999999999999</v>
      </c>
      <c r="E170">
        <v>-6.843</v>
      </c>
      <c r="F170">
        <v>263867</v>
      </c>
      <c r="G170">
        <v>0.59899999999999998</v>
      </c>
      <c r="H170">
        <v>263</v>
      </c>
      <c r="I170">
        <v>0.28199999999999997</v>
      </c>
      <c r="J170">
        <v>1.4500000000000001E-2</v>
      </c>
      <c r="K170" t="s">
        <v>479</v>
      </c>
      <c r="L170">
        <v>13</v>
      </c>
      <c r="M170">
        <v>0.73199999999999998</v>
      </c>
      <c r="N170">
        <v>97.989000000000004</v>
      </c>
      <c r="O170">
        <v>4.6700000000000002E-4</v>
      </c>
      <c r="P170">
        <v>1</v>
      </c>
      <c r="Q170">
        <v>11</v>
      </c>
      <c r="R170" t="s">
        <v>480</v>
      </c>
      <c r="S170" t="s">
        <v>481</v>
      </c>
      <c r="T170">
        <f>I170*-0.5+M170*0.5</f>
        <v>0.22500000000000001</v>
      </c>
      <c r="U170">
        <f>I170*0.7+M170*-0.25+D170*-0.25</f>
        <v>-2.1350000000000029E-2</v>
      </c>
      <c r="V170">
        <f>J170*0.5+I170*-0.5</f>
        <v>-0.13374999999999998</v>
      </c>
      <c r="W170">
        <f>M170*0.5+G170*0.25+I170*0.25</f>
        <v>0.58624999999999994</v>
      </c>
    </row>
    <row r="171" spans="1:23" x14ac:dyDescent="0.2">
      <c r="A171">
        <v>0.17199999999999999</v>
      </c>
      <c r="B171">
        <v>11</v>
      </c>
      <c r="C171">
        <v>4</v>
      </c>
      <c r="D171">
        <v>0.13600000000000001</v>
      </c>
      <c r="E171">
        <v>-5.0940000000000003</v>
      </c>
      <c r="F171">
        <v>208373</v>
      </c>
      <c r="G171">
        <v>0.53200000000000003</v>
      </c>
      <c r="H171">
        <v>206</v>
      </c>
      <c r="I171">
        <v>0.41899999999999998</v>
      </c>
      <c r="J171">
        <v>0.157</v>
      </c>
      <c r="K171" t="s">
        <v>657</v>
      </c>
      <c r="L171">
        <v>59</v>
      </c>
      <c r="M171">
        <v>0.86899999999999999</v>
      </c>
      <c r="N171">
        <v>159.803</v>
      </c>
      <c r="O171">
        <v>5.0800000000000003E-3</v>
      </c>
      <c r="P171">
        <v>1</v>
      </c>
      <c r="Q171">
        <v>2</v>
      </c>
      <c r="R171" t="s">
        <v>658</v>
      </c>
      <c r="S171" t="s">
        <v>659</v>
      </c>
      <c r="T171">
        <f>I171*-0.5+M171*0.5</f>
        <v>0.22500000000000001</v>
      </c>
      <c r="U171">
        <f>I171*0.7+M171*-0.25+D171*-0.25</f>
        <v>4.2049999999999949E-2</v>
      </c>
      <c r="V171">
        <f>J171*0.5+I171*-0.5</f>
        <v>-0.13100000000000001</v>
      </c>
      <c r="W171">
        <f>M171*0.5+G171*0.25+I171*0.25</f>
        <v>0.67225000000000001</v>
      </c>
    </row>
    <row r="172" spans="1:23" x14ac:dyDescent="0.2">
      <c r="A172">
        <v>3.4700000000000002E-2</v>
      </c>
      <c r="B172">
        <v>1</v>
      </c>
      <c r="C172">
        <v>4</v>
      </c>
      <c r="D172">
        <v>0.105</v>
      </c>
      <c r="E172">
        <v>-6.3120000000000003</v>
      </c>
      <c r="F172">
        <v>244107</v>
      </c>
      <c r="G172">
        <v>0.69899999999999995</v>
      </c>
      <c r="H172">
        <v>242</v>
      </c>
      <c r="I172">
        <v>0.157</v>
      </c>
      <c r="J172">
        <v>0.14199999999999999</v>
      </c>
      <c r="K172" t="s">
        <v>1051</v>
      </c>
      <c r="L172">
        <v>28</v>
      </c>
      <c r="M172">
        <v>0.60699999999999998</v>
      </c>
      <c r="N172">
        <v>123.95</v>
      </c>
      <c r="O172">
        <v>0</v>
      </c>
      <c r="P172">
        <v>1</v>
      </c>
      <c r="Q172">
        <v>10</v>
      </c>
      <c r="R172" t="s">
        <v>1052</v>
      </c>
      <c r="S172" t="s">
        <v>1053</v>
      </c>
      <c r="T172">
        <f>I172*-0.5+M172*0.5</f>
        <v>0.22499999999999998</v>
      </c>
      <c r="U172">
        <f>I172*0.7+M172*-0.25+D172*-0.25</f>
        <v>-6.8099999999999994E-2</v>
      </c>
      <c r="V172">
        <f>J172*0.5+I172*-0.5</f>
        <v>-7.5000000000000067E-3</v>
      </c>
      <c r="W172">
        <f>M172*0.5+G172*0.25+I172*0.25</f>
        <v>0.51749999999999996</v>
      </c>
    </row>
    <row r="173" spans="1:23" x14ac:dyDescent="0.2">
      <c r="A173">
        <v>3.1399999999999997E-2</v>
      </c>
      <c r="B173">
        <v>5</v>
      </c>
      <c r="C173">
        <v>4</v>
      </c>
      <c r="D173">
        <v>0.123</v>
      </c>
      <c r="E173">
        <v>-5.3620000000000001</v>
      </c>
      <c r="F173">
        <v>219493</v>
      </c>
      <c r="G173">
        <v>0.58299999999999996</v>
      </c>
      <c r="H173">
        <v>219</v>
      </c>
      <c r="I173">
        <v>0.13600000000000001</v>
      </c>
      <c r="J173">
        <v>0.254</v>
      </c>
      <c r="K173" t="s">
        <v>1585</v>
      </c>
      <c r="L173">
        <v>21</v>
      </c>
      <c r="M173">
        <v>0.58399999999999996</v>
      </c>
      <c r="N173">
        <v>140.03899999999999</v>
      </c>
      <c r="O173">
        <v>0</v>
      </c>
      <c r="P173">
        <v>0</v>
      </c>
      <c r="Q173">
        <v>12</v>
      </c>
      <c r="R173" t="s">
        <v>211</v>
      </c>
      <c r="S173" t="s">
        <v>1586</v>
      </c>
      <c r="T173">
        <f>I173*-0.5+M173*0.5</f>
        <v>0.22399999999999998</v>
      </c>
      <c r="U173">
        <f>I173*0.7+M173*-0.25+D173*-0.25</f>
        <v>-8.1549999999999984E-2</v>
      </c>
      <c r="V173">
        <f>J173*0.5+I173*-0.5</f>
        <v>5.8999999999999997E-2</v>
      </c>
      <c r="W173">
        <f>M173*0.5+G173*0.25+I173*0.25</f>
        <v>0.47175</v>
      </c>
    </row>
    <row r="174" spans="1:23" x14ac:dyDescent="0.2">
      <c r="A174">
        <v>4.5499999999999999E-2</v>
      </c>
      <c r="B174">
        <v>7</v>
      </c>
      <c r="C174">
        <v>4</v>
      </c>
      <c r="D174">
        <v>0.20399999999999999</v>
      </c>
      <c r="E174">
        <v>-5.3239999999999998</v>
      </c>
      <c r="F174">
        <v>214840</v>
      </c>
      <c r="G174">
        <v>0.68700000000000006</v>
      </c>
      <c r="H174">
        <v>212</v>
      </c>
      <c r="I174">
        <v>0.254</v>
      </c>
      <c r="J174">
        <v>6.4000000000000003E-3</v>
      </c>
      <c r="K174" t="s">
        <v>518</v>
      </c>
      <c r="L174">
        <v>52</v>
      </c>
      <c r="M174">
        <v>0.70199999999999996</v>
      </c>
      <c r="N174">
        <v>129.95599999999999</v>
      </c>
      <c r="O174" s="1">
        <v>4.35E-5</v>
      </c>
      <c r="P174">
        <v>0</v>
      </c>
      <c r="Q174">
        <v>8</v>
      </c>
      <c r="R174" t="s">
        <v>519</v>
      </c>
      <c r="S174" t="s">
        <v>520</v>
      </c>
      <c r="T174">
        <f>I174*-0.5+M174*0.5</f>
        <v>0.22399999999999998</v>
      </c>
      <c r="U174">
        <f>I174*0.7+M174*-0.25+D174*-0.25</f>
        <v>-4.87E-2</v>
      </c>
      <c r="V174">
        <f>J174*0.5+I174*-0.5</f>
        <v>-0.12380000000000001</v>
      </c>
      <c r="W174">
        <f>M174*0.5+G174*0.25+I174*0.25</f>
        <v>0.58625000000000005</v>
      </c>
    </row>
    <row r="175" spans="1:23" x14ac:dyDescent="0.2">
      <c r="A175">
        <v>4.7199999999999999E-2</v>
      </c>
      <c r="B175">
        <v>0</v>
      </c>
      <c r="C175">
        <v>4</v>
      </c>
      <c r="D175">
        <v>7.2300000000000003E-2</v>
      </c>
      <c r="E175">
        <v>-5.9009999999999998</v>
      </c>
      <c r="F175">
        <v>203107</v>
      </c>
      <c r="G175">
        <v>0.53800000000000003</v>
      </c>
      <c r="H175">
        <v>200</v>
      </c>
      <c r="I175">
        <v>0.154</v>
      </c>
      <c r="J175">
        <v>1.4E-2</v>
      </c>
      <c r="K175" t="s">
        <v>648</v>
      </c>
      <c r="L175">
        <v>55</v>
      </c>
      <c r="M175">
        <v>0.60099999999999998</v>
      </c>
      <c r="N175">
        <v>151.89500000000001</v>
      </c>
      <c r="O175">
        <v>0</v>
      </c>
      <c r="P175">
        <v>0</v>
      </c>
      <c r="Q175">
        <v>11</v>
      </c>
      <c r="R175" t="s">
        <v>649</v>
      </c>
      <c r="S175" t="s">
        <v>650</v>
      </c>
      <c r="T175">
        <f>I175*-0.5+M175*0.5</f>
        <v>0.22349999999999998</v>
      </c>
      <c r="U175">
        <f>I175*0.7+M175*-0.25+D175*-0.25</f>
        <v>-6.0525000000000002E-2</v>
      </c>
      <c r="V175">
        <f>J175*0.5+I175*-0.5</f>
        <v>-6.9999999999999993E-2</v>
      </c>
      <c r="W175">
        <f>M175*0.5+G175*0.25+I175*0.25</f>
        <v>0.47349999999999998</v>
      </c>
    </row>
    <row r="176" spans="1:23" x14ac:dyDescent="0.2">
      <c r="A176">
        <v>5.0700000000000002E-2</v>
      </c>
      <c r="B176">
        <v>10</v>
      </c>
      <c r="C176">
        <v>4</v>
      </c>
      <c r="D176">
        <v>0.154</v>
      </c>
      <c r="E176">
        <v>-4.056</v>
      </c>
      <c r="F176">
        <v>263280</v>
      </c>
      <c r="G176">
        <v>0.41699999999999998</v>
      </c>
      <c r="H176">
        <v>261</v>
      </c>
      <c r="I176">
        <v>0.501</v>
      </c>
      <c r="J176">
        <v>1.31E-3</v>
      </c>
      <c r="K176" t="s">
        <v>193</v>
      </c>
      <c r="L176">
        <v>1</v>
      </c>
      <c r="M176">
        <v>0.94599999999999995</v>
      </c>
      <c r="N176">
        <v>95.245000000000005</v>
      </c>
      <c r="O176">
        <v>0</v>
      </c>
      <c r="P176">
        <v>0</v>
      </c>
      <c r="Q176">
        <v>8</v>
      </c>
      <c r="R176" t="s">
        <v>194</v>
      </c>
      <c r="S176" t="s">
        <v>195</v>
      </c>
      <c r="T176">
        <f>I176*-0.5+M176*0.5</f>
        <v>0.22249999999999998</v>
      </c>
      <c r="U176">
        <f>I176*0.7+M176*-0.25+D176*-0.25</f>
        <v>7.5699999999999962E-2</v>
      </c>
      <c r="V176">
        <f>J176*0.5+I176*-0.5</f>
        <v>-0.24984500000000001</v>
      </c>
      <c r="W176">
        <f>M176*0.5+G176*0.25+I176*0.25</f>
        <v>0.7024999999999999</v>
      </c>
    </row>
    <row r="177" spans="1:23" x14ac:dyDescent="0.2">
      <c r="A177">
        <v>0.216</v>
      </c>
      <c r="B177">
        <v>4</v>
      </c>
      <c r="C177">
        <v>4</v>
      </c>
      <c r="D177">
        <v>6.8699999999999997E-2</v>
      </c>
      <c r="E177">
        <v>-2.2320000000000002</v>
      </c>
      <c r="F177">
        <v>263733</v>
      </c>
      <c r="G177">
        <v>0.77300000000000002</v>
      </c>
      <c r="H177">
        <v>263</v>
      </c>
      <c r="I177">
        <v>0.48599999999999999</v>
      </c>
      <c r="J177">
        <v>7.5300000000000006E-2</v>
      </c>
      <c r="K177" t="s">
        <v>393</v>
      </c>
      <c r="L177">
        <v>17</v>
      </c>
      <c r="M177">
        <v>0.92900000000000005</v>
      </c>
      <c r="N177">
        <v>92.968000000000004</v>
      </c>
      <c r="O177" s="1">
        <v>2.6699999999999998E-6</v>
      </c>
      <c r="P177">
        <v>0</v>
      </c>
      <c r="Q177">
        <v>8</v>
      </c>
      <c r="R177" t="s">
        <v>394</v>
      </c>
      <c r="S177" t="s">
        <v>395</v>
      </c>
      <c r="T177">
        <f>I177*-0.5+M177*0.5</f>
        <v>0.22150000000000003</v>
      </c>
      <c r="U177">
        <f>I177*0.7+M177*-0.25+D177*-0.25</f>
        <v>9.0774999999999939E-2</v>
      </c>
      <c r="V177">
        <f>J177*0.5+I177*-0.5</f>
        <v>-0.20534999999999998</v>
      </c>
      <c r="W177">
        <f>M177*0.5+G177*0.25+I177*0.25</f>
        <v>0.77925</v>
      </c>
    </row>
    <row r="178" spans="1:23" x14ac:dyDescent="0.2">
      <c r="A178">
        <v>2.9899999999999999E-2</v>
      </c>
      <c r="B178">
        <v>5</v>
      </c>
      <c r="C178">
        <v>4</v>
      </c>
      <c r="D178">
        <v>0.437</v>
      </c>
      <c r="E178">
        <v>-3.45</v>
      </c>
      <c r="F178">
        <v>206413</v>
      </c>
      <c r="G178">
        <v>0.434</v>
      </c>
      <c r="H178">
        <v>204</v>
      </c>
      <c r="I178">
        <v>0.32100000000000001</v>
      </c>
      <c r="J178">
        <v>5.3400000000000003E-2</v>
      </c>
      <c r="K178" t="s">
        <v>544</v>
      </c>
      <c r="L178">
        <v>33</v>
      </c>
      <c r="M178">
        <v>0.76400000000000001</v>
      </c>
      <c r="N178">
        <v>51.316000000000003</v>
      </c>
      <c r="O178">
        <v>0</v>
      </c>
      <c r="P178">
        <v>1</v>
      </c>
      <c r="Q178">
        <v>11</v>
      </c>
      <c r="R178" t="s">
        <v>76</v>
      </c>
      <c r="S178" t="s">
        <v>545</v>
      </c>
      <c r="T178">
        <f>I178*-0.5+M178*0.5</f>
        <v>0.2215</v>
      </c>
      <c r="U178">
        <f>I178*0.7+M178*-0.25+D178*-0.25</f>
        <v>-7.555000000000002E-2</v>
      </c>
      <c r="V178">
        <f>J178*0.5+I178*-0.5</f>
        <v>-0.1338</v>
      </c>
      <c r="W178">
        <f>M178*0.5+G178*0.25+I178*0.25</f>
        <v>0.57074999999999998</v>
      </c>
    </row>
    <row r="179" spans="1:23" x14ac:dyDescent="0.2">
      <c r="A179">
        <v>4.7399999999999998E-2</v>
      </c>
      <c r="B179">
        <v>1</v>
      </c>
      <c r="C179">
        <v>4</v>
      </c>
      <c r="D179">
        <v>0.20100000000000001</v>
      </c>
      <c r="E179">
        <v>-4.8840000000000003</v>
      </c>
      <c r="F179">
        <v>195307</v>
      </c>
      <c r="G179">
        <v>0.54</v>
      </c>
      <c r="H179">
        <v>193</v>
      </c>
      <c r="I179">
        <v>0.48</v>
      </c>
      <c r="J179">
        <v>8.1400000000000005E-4</v>
      </c>
      <c r="K179" t="s">
        <v>234</v>
      </c>
      <c r="L179">
        <v>34</v>
      </c>
      <c r="M179">
        <v>0.92200000000000004</v>
      </c>
      <c r="N179">
        <v>124.996</v>
      </c>
      <c r="O179">
        <v>0</v>
      </c>
      <c r="P179">
        <v>0</v>
      </c>
      <c r="Q179">
        <v>11</v>
      </c>
      <c r="R179" t="s">
        <v>128</v>
      </c>
      <c r="S179" t="s">
        <v>235</v>
      </c>
      <c r="T179">
        <f>I179*-0.5+M179*0.5</f>
        <v>0.22100000000000003</v>
      </c>
      <c r="U179">
        <f>I179*0.7+M179*-0.25+D179*-0.25</f>
        <v>5.5249999999999952E-2</v>
      </c>
      <c r="V179">
        <f>J179*0.5+I179*-0.5</f>
        <v>-0.239593</v>
      </c>
      <c r="W179">
        <f>M179*0.5+G179*0.25+I179*0.25</f>
        <v>0.71600000000000008</v>
      </c>
    </row>
    <row r="180" spans="1:23" x14ac:dyDescent="0.2">
      <c r="A180">
        <v>4.5199999999999997E-2</v>
      </c>
      <c r="B180">
        <v>11</v>
      </c>
      <c r="C180">
        <v>4</v>
      </c>
      <c r="D180">
        <v>0.113</v>
      </c>
      <c r="E180">
        <v>-4.16</v>
      </c>
      <c r="F180">
        <v>256560</v>
      </c>
      <c r="G180">
        <v>0.57899999999999996</v>
      </c>
      <c r="H180">
        <v>251</v>
      </c>
      <c r="I180">
        <v>0.28899999999999998</v>
      </c>
      <c r="J180">
        <v>1.37E-2</v>
      </c>
      <c r="K180" t="s">
        <v>512</v>
      </c>
      <c r="L180">
        <v>43</v>
      </c>
      <c r="M180">
        <v>0.73099999999999998</v>
      </c>
      <c r="N180">
        <v>126.07</v>
      </c>
      <c r="O180">
        <v>0</v>
      </c>
      <c r="P180">
        <v>0</v>
      </c>
      <c r="Q180">
        <v>13</v>
      </c>
      <c r="R180" t="s">
        <v>513</v>
      </c>
      <c r="S180" t="s">
        <v>514</v>
      </c>
      <c r="T180">
        <f>I180*-0.5+M180*0.5</f>
        <v>0.221</v>
      </c>
      <c r="U180">
        <f>I180*0.7+M180*-0.25+D180*-0.25</f>
        <v>-8.7000000000000167E-3</v>
      </c>
      <c r="V180">
        <f>J180*0.5+I180*-0.5</f>
        <v>-0.13764999999999999</v>
      </c>
      <c r="W180">
        <f>M180*0.5+G180*0.25+I180*0.25</f>
        <v>0.58250000000000002</v>
      </c>
    </row>
    <row r="181" spans="1:23" x14ac:dyDescent="0.2">
      <c r="A181">
        <v>3.3000000000000002E-2</v>
      </c>
      <c r="B181">
        <v>7</v>
      </c>
      <c r="C181">
        <v>4</v>
      </c>
      <c r="D181">
        <v>0.24099999999999999</v>
      </c>
      <c r="E181">
        <v>-5.9610000000000003</v>
      </c>
      <c r="F181">
        <v>206560</v>
      </c>
      <c r="G181">
        <v>0.61899999999999999</v>
      </c>
      <c r="H181">
        <v>204</v>
      </c>
      <c r="I181">
        <v>0.30599999999999999</v>
      </c>
      <c r="J181">
        <v>6.5600000000000006E-2</v>
      </c>
      <c r="K181" t="s">
        <v>600</v>
      </c>
      <c r="L181">
        <v>55</v>
      </c>
      <c r="M181">
        <v>0.748</v>
      </c>
      <c r="N181">
        <v>114.983</v>
      </c>
      <c r="O181" s="1">
        <v>1.8600000000000001E-5</v>
      </c>
      <c r="P181">
        <v>1</v>
      </c>
      <c r="Q181">
        <v>17</v>
      </c>
      <c r="R181" t="s">
        <v>601</v>
      </c>
      <c r="S181" t="s">
        <v>602</v>
      </c>
      <c r="T181">
        <f>I181*-0.5+M181*0.5</f>
        <v>0.221</v>
      </c>
      <c r="U181">
        <f>I181*0.7+M181*-0.25+D181*-0.25</f>
        <v>-3.3050000000000024E-2</v>
      </c>
      <c r="V181">
        <f>J181*0.5+I181*-0.5</f>
        <v>-0.1202</v>
      </c>
      <c r="W181">
        <f>M181*0.5+G181*0.25+I181*0.25</f>
        <v>0.60525000000000007</v>
      </c>
    </row>
    <row r="182" spans="1:23" x14ac:dyDescent="0.2">
      <c r="A182">
        <v>4.5699999999999998E-2</v>
      </c>
      <c r="B182">
        <v>11</v>
      </c>
      <c r="C182">
        <v>4</v>
      </c>
      <c r="D182">
        <v>0.26900000000000002</v>
      </c>
      <c r="E182">
        <v>-5.7279999999999998</v>
      </c>
      <c r="F182">
        <v>213428</v>
      </c>
      <c r="G182">
        <v>0.58299999999999996</v>
      </c>
      <c r="H182">
        <v>211</v>
      </c>
      <c r="I182">
        <v>0.29199999999999998</v>
      </c>
      <c r="J182">
        <v>3.1199999999999999E-3</v>
      </c>
      <c r="K182" t="s">
        <v>470</v>
      </c>
      <c r="L182">
        <v>59</v>
      </c>
      <c r="M182">
        <v>0.73199999999999998</v>
      </c>
      <c r="N182">
        <v>145.99199999999999</v>
      </c>
      <c r="O182" s="1">
        <v>9.8600000000000005E-6</v>
      </c>
      <c r="P182">
        <v>0</v>
      </c>
      <c r="Q182">
        <v>13</v>
      </c>
      <c r="R182" t="s">
        <v>471</v>
      </c>
      <c r="S182" t="s">
        <v>472</v>
      </c>
      <c r="T182">
        <f>I182*-0.5+M182*0.5</f>
        <v>0.22</v>
      </c>
      <c r="U182">
        <f>I182*0.7+M182*-0.25+D182*-0.25</f>
        <v>-4.585000000000003E-2</v>
      </c>
      <c r="V182">
        <f>J182*0.5+I182*-0.5</f>
        <v>-0.14443999999999999</v>
      </c>
      <c r="W182">
        <f>M182*0.5+G182*0.25+I182*0.25</f>
        <v>0.58474999999999988</v>
      </c>
    </row>
    <row r="183" spans="1:23" x14ac:dyDescent="0.2">
      <c r="A183">
        <v>3.5700000000000003E-2</v>
      </c>
      <c r="B183">
        <v>5</v>
      </c>
      <c r="C183">
        <v>4</v>
      </c>
      <c r="D183">
        <v>0.14599999999999999</v>
      </c>
      <c r="E183">
        <v>-5.8860000000000001</v>
      </c>
      <c r="F183">
        <v>262467</v>
      </c>
      <c r="G183">
        <v>0.63800000000000001</v>
      </c>
      <c r="H183">
        <v>237</v>
      </c>
      <c r="I183">
        <v>0.217</v>
      </c>
      <c r="J183">
        <v>0.188</v>
      </c>
      <c r="K183" t="s">
        <v>1185</v>
      </c>
      <c r="L183">
        <v>28</v>
      </c>
      <c r="M183">
        <v>0.65600000000000003</v>
      </c>
      <c r="N183">
        <v>104.036</v>
      </c>
      <c r="O183">
        <v>0</v>
      </c>
      <c r="P183">
        <v>1</v>
      </c>
      <c r="Q183">
        <v>1</v>
      </c>
      <c r="R183" t="s">
        <v>1186</v>
      </c>
      <c r="S183" t="s">
        <v>1187</v>
      </c>
      <c r="T183">
        <f>I183*-0.5+M183*0.5</f>
        <v>0.21950000000000003</v>
      </c>
      <c r="U183">
        <f>I183*0.7+M183*-0.25+D183*-0.25</f>
        <v>-4.8600000000000025E-2</v>
      </c>
      <c r="V183">
        <f>J183*0.5+I183*-0.5</f>
        <v>-1.4499999999999999E-2</v>
      </c>
      <c r="W183">
        <f>M183*0.5+G183*0.25+I183*0.25</f>
        <v>0.54175000000000006</v>
      </c>
    </row>
    <row r="184" spans="1:23" x14ac:dyDescent="0.2">
      <c r="A184">
        <v>6.9900000000000004E-2</v>
      </c>
      <c r="B184">
        <v>0</v>
      </c>
      <c r="C184">
        <v>4</v>
      </c>
      <c r="D184">
        <v>0.13700000000000001</v>
      </c>
      <c r="E184">
        <v>-6.9870000000000001</v>
      </c>
      <c r="F184">
        <v>242253</v>
      </c>
      <c r="G184">
        <v>0.54</v>
      </c>
      <c r="H184">
        <v>237</v>
      </c>
      <c r="I184">
        <v>0.123</v>
      </c>
      <c r="J184">
        <v>6.3500000000000001E-2</v>
      </c>
      <c r="K184" t="s">
        <v>899</v>
      </c>
      <c r="L184">
        <v>57</v>
      </c>
      <c r="M184">
        <v>0.56100000000000005</v>
      </c>
      <c r="N184">
        <v>113.295</v>
      </c>
      <c r="O184">
        <v>0</v>
      </c>
      <c r="P184">
        <v>0</v>
      </c>
      <c r="Q184">
        <v>7</v>
      </c>
      <c r="R184" t="s">
        <v>900</v>
      </c>
      <c r="S184" t="s">
        <v>901</v>
      </c>
      <c r="T184">
        <f>I184*-0.5+M184*0.5</f>
        <v>0.21900000000000003</v>
      </c>
      <c r="U184">
        <f>I184*0.7+M184*-0.25+D184*-0.25</f>
        <v>-8.840000000000002E-2</v>
      </c>
      <c r="V184">
        <f>J184*0.5+I184*-0.5</f>
        <v>-2.9749999999999999E-2</v>
      </c>
      <c r="W184">
        <f>M184*0.5+G184*0.25+I184*0.25</f>
        <v>0.44625000000000004</v>
      </c>
    </row>
    <row r="185" spans="1:23" x14ac:dyDescent="0.2">
      <c r="A185">
        <v>4.0500000000000001E-2</v>
      </c>
      <c r="B185">
        <v>6</v>
      </c>
      <c r="C185">
        <v>4</v>
      </c>
      <c r="D185">
        <v>0.11899999999999999</v>
      </c>
      <c r="E185">
        <v>-3.3180000000000001</v>
      </c>
      <c r="F185">
        <v>199947</v>
      </c>
      <c r="G185">
        <v>0.51900000000000002</v>
      </c>
      <c r="H185">
        <v>197</v>
      </c>
      <c r="I185">
        <v>0.311</v>
      </c>
      <c r="J185">
        <v>0.27100000000000002</v>
      </c>
      <c r="K185" t="s">
        <v>1302</v>
      </c>
      <c r="L185">
        <v>25</v>
      </c>
      <c r="M185">
        <v>0.749</v>
      </c>
      <c r="N185">
        <v>147.905</v>
      </c>
      <c r="O185">
        <v>0</v>
      </c>
      <c r="P185">
        <v>0</v>
      </c>
      <c r="Q185">
        <v>18</v>
      </c>
      <c r="R185" t="s">
        <v>1303</v>
      </c>
      <c r="S185" t="s">
        <v>1304</v>
      </c>
      <c r="T185">
        <f>I185*-0.5+M185*0.5</f>
        <v>0.219</v>
      </c>
      <c r="U185">
        <f>I185*0.7+M185*-0.25+D185*-0.25</f>
        <v>6.9999999999997842E-4</v>
      </c>
      <c r="V185">
        <f>J185*0.5+I185*-0.5</f>
        <v>-1.999999999999999E-2</v>
      </c>
      <c r="W185">
        <f>M185*0.5+G185*0.25+I185*0.25</f>
        <v>0.58199999999999996</v>
      </c>
    </row>
    <row r="186" spans="1:23" x14ac:dyDescent="0.2">
      <c r="A186">
        <v>3.2000000000000001E-2</v>
      </c>
      <c r="B186">
        <v>11</v>
      </c>
      <c r="C186">
        <v>4</v>
      </c>
      <c r="D186">
        <v>8.5900000000000004E-2</v>
      </c>
      <c r="E186">
        <v>-4.3949999999999996</v>
      </c>
      <c r="F186">
        <v>228107</v>
      </c>
      <c r="G186">
        <v>0.50800000000000001</v>
      </c>
      <c r="H186">
        <v>225</v>
      </c>
      <c r="I186">
        <v>0.39400000000000002</v>
      </c>
      <c r="J186">
        <v>3.7199999999999999E-4</v>
      </c>
      <c r="K186" t="s">
        <v>294</v>
      </c>
      <c r="L186">
        <v>41</v>
      </c>
      <c r="M186">
        <v>0.83199999999999996</v>
      </c>
      <c r="N186">
        <v>136.00399999999999</v>
      </c>
      <c r="O186">
        <v>0</v>
      </c>
      <c r="P186">
        <v>1</v>
      </c>
      <c r="Q186">
        <v>14</v>
      </c>
      <c r="R186" t="s">
        <v>38</v>
      </c>
      <c r="S186" t="s">
        <v>295</v>
      </c>
      <c r="T186">
        <f>I186*-0.5+M186*0.5</f>
        <v>0.21899999999999997</v>
      </c>
      <c r="U186">
        <f>I186*0.7+M186*-0.25+D186*-0.25</f>
        <v>4.6324999999999998E-2</v>
      </c>
      <c r="V186">
        <f>J186*0.5+I186*-0.5</f>
        <v>-0.19681400000000002</v>
      </c>
      <c r="W186">
        <f>M186*0.5+G186*0.25+I186*0.25</f>
        <v>0.64149999999999996</v>
      </c>
    </row>
    <row r="187" spans="1:23" x14ac:dyDescent="0.2">
      <c r="A187">
        <v>5.57E-2</v>
      </c>
      <c r="B187">
        <v>11</v>
      </c>
      <c r="C187">
        <v>4</v>
      </c>
      <c r="D187">
        <v>0.35599999999999998</v>
      </c>
      <c r="E187">
        <v>-6.61</v>
      </c>
      <c r="F187">
        <v>274213</v>
      </c>
      <c r="G187">
        <v>0.63200000000000001</v>
      </c>
      <c r="H187">
        <v>271</v>
      </c>
      <c r="I187">
        <v>0.35199999999999998</v>
      </c>
      <c r="J187">
        <v>4.2999999999999999E-4</v>
      </c>
      <c r="K187" t="s">
        <v>405</v>
      </c>
      <c r="L187">
        <v>35</v>
      </c>
      <c r="M187">
        <v>0.78900000000000003</v>
      </c>
      <c r="N187">
        <v>98.986000000000004</v>
      </c>
      <c r="O187">
        <v>1.4400000000000001E-3</v>
      </c>
      <c r="P187">
        <v>0</v>
      </c>
      <c r="Q187">
        <v>6</v>
      </c>
      <c r="R187" t="s">
        <v>270</v>
      </c>
      <c r="S187" t="s">
        <v>406</v>
      </c>
      <c r="T187">
        <f>I187*-0.5+M187*0.5</f>
        <v>0.21850000000000003</v>
      </c>
      <c r="U187">
        <f>I187*0.7+M187*-0.25+D187*-0.25</f>
        <v>-3.9850000000000024E-2</v>
      </c>
      <c r="V187">
        <f>J187*0.5+I187*-0.5</f>
        <v>-0.175785</v>
      </c>
      <c r="W187">
        <f>M187*0.5+G187*0.25+I187*0.25</f>
        <v>0.64049999999999996</v>
      </c>
    </row>
    <row r="188" spans="1:23" x14ac:dyDescent="0.2">
      <c r="A188">
        <v>8.2000000000000003E-2</v>
      </c>
      <c r="B188">
        <v>11</v>
      </c>
      <c r="C188">
        <v>4</v>
      </c>
      <c r="D188">
        <v>6.3899999999999998E-2</v>
      </c>
      <c r="E188">
        <v>-2.9649999999999999</v>
      </c>
      <c r="F188">
        <v>231000</v>
      </c>
      <c r="G188">
        <v>0.625</v>
      </c>
      <c r="H188">
        <v>228</v>
      </c>
      <c r="I188">
        <v>0.42799999999999999</v>
      </c>
      <c r="J188">
        <v>4.0800000000000003E-2</v>
      </c>
      <c r="K188" t="s">
        <v>407</v>
      </c>
      <c r="L188">
        <v>61</v>
      </c>
      <c r="M188">
        <v>0.86499999999999999</v>
      </c>
      <c r="N188">
        <v>167.91900000000001</v>
      </c>
      <c r="O188" s="1">
        <v>2.8E-5</v>
      </c>
      <c r="P188">
        <v>0</v>
      </c>
      <c r="Q188">
        <v>17</v>
      </c>
      <c r="R188" t="s">
        <v>408</v>
      </c>
      <c r="S188" t="s">
        <v>409</v>
      </c>
      <c r="T188">
        <f>I188*-0.5+M188*0.5</f>
        <v>0.2185</v>
      </c>
      <c r="U188">
        <f>I188*0.7+M188*-0.25+D188*-0.25</f>
        <v>6.7374999999999977E-2</v>
      </c>
      <c r="V188">
        <f>J188*0.5+I188*-0.5</f>
        <v>-0.19359999999999999</v>
      </c>
      <c r="W188">
        <f>M188*0.5+G188*0.25+I188*0.25</f>
        <v>0.69574999999999998</v>
      </c>
    </row>
    <row r="189" spans="1:23" x14ac:dyDescent="0.2">
      <c r="A189">
        <v>4.8300000000000003E-2</v>
      </c>
      <c r="B189">
        <v>9</v>
      </c>
      <c r="C189">
        <v>4</v>
      </c>
      <c r="D189">
        <v>8.0199999999999994E-2</v>
      </c>
      <c r="E189">
        <v>-4.7619999999999996</v>
      </c>
      <c r="F189">
        <v>198467</v>
      </c>
      <c r="G189">
        <v>0.47899999999999998</v>
      </c>
      <c r="H189">
        <v>197</v>
      </c>
      <c r="I189">
        <v>0.44700000000000001</v>
      </c>
      <c r="J189">
        <v>3.3799999999999997E-2</v>
      </c>
      <c r="K189" t="s">
        <v>311</v>
      </c>
      <c r="L189">
        <v>28</v>
      </c>
      <c r="M189">
        <v>0.88400000000000001</v>
      </c>
      <c r="N189">
        <v>146.922</v>
      </c>
      <c r="O189">
        <v>0</v>
      </c>
      <c r="P189">
        <v>1</v>
      </c>
      <c r="Q189">
        <v>13</v>
      </c>
      <c r="R189" t="s">
        <v>312</v>
      </c>
      <c r="S189" t="s">
        <v>313</v>
      </c>
      <c r="T189">
        <f>I189*-0.5+M189*0.5</f>
        <v>0.2185</v>
      </c>
      <c r="U189">
        <f>I189*0.7+M189*-0.25+D189*-0.25</f>
        <v>7.1850000000000011E-2</v>
      </c>
      <c r="V189">
        <f>J189*0.5+I189*-0.5</f>
        <v>-0.20660000000000001</v>
      </c>
      <c r="W189">
        <f>M189*0.5+G189*0.25+I189*0.25</f>
        <v>0.67349999999999999</v>
      </c>
    </row>
    <row r="190" spans="1:23" x14ac:dyDescent="0.2">
      <c r="A190">
        <v>4.7800000000000002E-2</v>
      </c>
      <c r="B190">
        <v>5</v>
      </c>
      <c r="C190">
        <v>4</v>
      </c>
      <c r="D190">
        <v>0.11799999999999999</v>
      </c>
      <c r="E190">
        <v>-4.0410000000000004</v>
      </c>
      <c r="F190">
        <v>248293</v>
      </c>
      <c r="G190">
        <v>0.61399999999999999</v>
      </c>
      <c r="H190">
        <v>245</v>
      </c>
      <c r="I190">
        <v>0.37</v>
      </c>
      <c r="J190">
        <v>1.8400000000000001E-3</v>
      </c>
      <c r="K190" t="s">
        <v>385</v>
      </c>
      <c r="L190">
        <v>47</v>
      </c>
      <c r="M190">
        <v>0.80500000000000005</v>
      </c>
      <c r="N190">
        <v>126.008</v>
      </c>
      <c r="O190">
        <v>0</v>
      </c>
      <c r="P190">
        <v>0</v>
      </c>
      <c r="Q190">
        <v>18</v>
      </c>
      <c r="R190" t="s">
        <v>386</v>
      </c>
      <c r="S190" t="s">
        <v>387</v>
      </c>
      <c r="T190">
        <f>I190*-0.5+M190*0.5</f>
        <v>0.21750000000000003</v>
      </c>
      <c r="U190">
        <f>I190*0.7+M190*-0.25+D190*-0.25</f>
        <v>2.8249999999999997E-2</v>
      </c>
      <c r="V190">
        <f>J190*0.5+I190*-0.5</f>
        <v>-0.18407999999999999</v>
      </c>
      <c r="W190">
        <f>M190*0.5+G190*0.25+I190*0.25</f>
        <v>0.64850000000000008</v>
      </c>
    </row>
    <row r="191" spans="1:23" x14ac:dyDescent="0.2">
      <c r="A191">
        <v>5.3800000000000001E-2</v>
      </c>
      <c r="B191">
        <v>5</v>
      </c>
      <c r="C191">
        <v>4</v>
      </c>
      <c r="D191">
        <v>7.46E-2</v>
      </c>
      <c r="E191">
        <v>-6.4550000000000001</v>
      </c>
      <c r="F191">
        <v>221560</v>
      </c>
      <c r="G191">
        <v>0.6</v>
      </c>
      <c r="H191">
        <v>219</v>
      </c>
      <c r="I191">
        <v>0.23599999999999999</v>
      </c>
      <c r="J191">
        <v>0.17399999999999999</v>
      </c>
      <c r="K191" t="s">
        <v>1124</v>
      </c>
      <c r="L191">
        <v>56</v>
      </c>
      <c r="M191">
        <v>0.67</v>
      </c>
      <c r="N191">
        <v>88.954999999999998</v>
      </c>
      <c r="O191">
        <v>0</v>
      </c>
      <c r="P191">
        <v>0</v>
      </c>
      <c r="Q191">
        <v>6</v>
      </c>
      <c r="R191" t="s">
        <v>1125</v>
      </c>
      <c r="S191" t="s">
        <v>1126</v>
      </c>
      <c r="T191">
        <f>I191*-0.5+M191*0.5</f>
        <v>0.21700000000000003</v>
      </c>
      <c r="U191">
        <f>I191*0.7+M191*-0.25+D191*-0.25</f>
        <v>-2.0950000000000024E-2</v>
      </c>
      <c r="V191">
        <f>J191*0.5+I191*-0.5</f>
        <v>-3.1E-2</v>
      </c>
      <c r="W191">
        <f>M191*0.5+G191*0.25+I191*0.25</f>
        <v>0.54400000000000004</v>
      </c>
    </row>
    <row r="192" spans="1:23" x14ac:dyDescent="0.2">
      <c r="A192">
        <v>9.1800000000000007E-2</v>
      </c>
      <c r="B192">
        <v>1</v>
      </c>
      <c r="C192">
        <v>4</v>
      </c>
      <c r="D192">
        <v>0.17799999999999999</v>
      </c>
      <c r="E192">
        <v>-5.944</v>
      </c>
      <c r="F192">
        <v>193853</v>
      </c>
      <c r="G192">
        <v>0.58199999999999996</v>
      </c>
      <c r="H192">
        <v>193</v>
      </c>
      <c r="I192">
        <v>0.36699999999999999</v>
      </c>
      <c r="J192">
        <v>7.28E-3</v>
      </c>
      <c r="K192" t="s">
        <v>424</v>
      </c>
      <c r="L192">
        <v>48</v>
      </c>
      <c r="M192">
        <v>0.79900000000000004</v>
      </c>
      <c r="N192">
        <v>130.90199999999999</v>
      </c>
      <c r="O192">
        <v>0</v>
      </c>
      <c r="P192">
        <v>1</v>
      </c>
      <c r="Q192">
        <v>20</v>
      </c>
      <c r="R192" t="s">
        <v>425</v>
      </c>
      <c r="S192" t="s">
        <v>426</v>
      </c>
      <c r="T192">
        <f>I192*-0.5+M192*0.5</f>
        <v>0.21600000000000003</v>
      </c>
      <c r="U192">
        <f>I192*0.7+M192*-0.25+D192*-0.25</f>
        <v>1.2649999999999953E-2</v>
      </c>
      <c r="V192">
        <f>J192*0.5+I192*-0.5</f>
        <v>-0.17985999999999999</v>
      </c>
      <c r="W192">
        <f>M192*0.5+G192*0.25+I192*0.25</f>
        <v>0.63675000000000004</v>
      </c>
    </row>
    <row r="193" spans="1:23" x14ac:dyDescent="0.2">
      <c r="A193">
        <v>3.9399999999999998E-2</v>
      </c>
      <c r="B193">
        <v>2</v>
      </c>
      <c r="C193">
        <v>4</v>
      </c>
      <c r="D193">
        <v>0.32200000000000001</v>
      </c>
      <c r="E193">
        <v>-4.1230000000000002</v>
      </c>
      <c r="F193">
        <v>227267</v>
      </c>
      <c r="G193">
        <v>0.64600000000000002</v>
      </c>
      <c r="H193">
        <v>225</v>
      </c>
      <c r="I193">
        <v>0.39100000000000001</v>
      </c>
      <c r="J193">
        <v>0.21299999999999999</v>
      </c>
      <c r="K193" t="s">
        <v>963</v>
      </c>
      <c r="L193">
        <v>54</v>
      </c>
      <c r="M193">
        <v>0.82299999999999995</v>
      </c>
      <c r="N193">
        <v>128.035</v>
      </c>
      <c r="O193">
        <v>0</v>
      </c>
      <c r="P193">
        <v>0</v>
      </c>
      <c r="Q193">
        <v>10</v>
      </c>
      <c r="R193" t="s">
        <v>964</v>
      </c>
      <c r="S193" t="s">
        <v>965</v>
      </c>
      <c r="T193">
        <f>I193*-0.5+M193*0.5</f>
        <v>0.21599999999999997</v>
      </c>
      <c r="U193">
        <f>I193*0.7+M193*-0.25+D193*-0.25</f>
        <v>-1.2549999999999992E-2</v>
      </c>
      <c r="V193">
        <f>J193*0.5+I193*-0.5</f>
        <v>-8.900000000000001E-2</v>
      </c>
      <c r="W193">
        <f>M193*0.5+G193*0.25+I193*0.25</f>
        <v>0.67074999999999996</v>
      </c>
    </row>
    <row r="194" spans="1:23" x14ac:dyDescent="0.2">
      <c r="A194">
        <v>4.6899999999999997E-2</v>
      </c>
      <c r="B194">
        <v>9</v>
      </c>
      <c r="C194">
        <v>4</v>
      </c>
      <c r="D194">
        <v>0.20300000000000001</v>
      </c>
      <c r="E194">
        <v>-6.1340000000000003</v>
      </c>
      <c r="F194">
        <v>193546</v>
      </c>
      <c r="G194">
        <v>0.59799999999999998</v>
      </c>
      <c r="H194">
        <v>188</v>
      </c>
      <c r="I194">
        <v>0.24199999999999999</v>
      </c>
      <c r="J194">
        <v>0.17699999999999999</v>
      </c>
      <c r="K194" t="s">
        <v>1140</v>
      </c>
      <c r="L194">
        <v>60</v>
      </c>
      <c r="M194">
        <v>0.67300000000000004</v>
      </c>
      <c r="N194">
        <v>117.02</v>
      </c>
      <c r="O194">
        <v>3.1599999999999998E-4</v>
      </c>
      <c r="P194">
        <v>0</v>
      </c>
      <c r="Q194">
        <v>14</v>
      </c>
      <c r="R194" t="s">
        <v>675</v>
      </c>
      <c r="S194" t="s">
        <v>1141</v>
      </c>
      <c r="T194">
        <f>I194*-0.5+M194*0.5</f>
        <v>0.21550000000000002</v>
      </c>
      <c r="U194">
        <f>I194*0.7+M194*-0.25+D194*-0.25</f>
        <v>-4.9600000000000019E-2</v>
      </c>
      <c r="V194">
        <f>J194*0.5+I194*-0.5</f>
        <v>-3.2500000000000001E-2</v>
      </c>
      <c r="W194">
        <f>M194*0.5+G194*0.25+I194*0.25</f>
        <v>0.54649999999999999</v>
      </c>
    </row>
    <row r="195" spans="1:23" x14ac:dyDescent="0.2">
      <c r="A195">
        <v>3.3099999999999997E-2</v>
      </c>
      <c r="B195">
        <v>4</v>
      </c>
      <c r="C195">
        <v>4</v>
      </c>
      <c r="D195">
        <v>7.6799999999999993E-2</v>
      </c>
      <c r="E195">
        <v>-4.8339999999999996</v>
      </c>
      <c r="F195">
        <v>239587</v>
      </c>
      <c r="G195">
        <v>0.437</v>
      </c>
      <c r="H195">
        <v>235</v>
      </c>
      <c r="I195">
        <v>0.158</v>
      </c>
      <c r="J195">
        <v>0.23100000000000001</v>
      </c>
      <c r="K195" t="s">
        <v>1549</v>
      </c>
      <c r="L195">
        <v>19</v>
      </c>
      <c r="M195">
        <v>0.58899999999999997</v>
      </c>
      <c r="N195">
        <v>133.631</v>
      </c>
      <c r="O195">
        <v>0</v>
      </c>
      <c r="P195">
        <v>1</v>
      </c>
      <c r="Q195">
        <v>15</v>
      </c>
      <c r="R195" t="s">
        <v>1005</v>
      </c>
      <c r="S195" t="s">
        <v>1550</v>
      </c>
      <c r="T195">
        <f>I195*-0.5+M195*0.5</f>
        <v>0.21549999999999997</v>
      </c>
      <c r="U195">
        <f>I195*0.7+M195*-0.25+D195*-0.25</f>
        <v>-5.5849999999999997E-2</v>
      </c>
      <c r="V195">
        <f>J195*0.5+I195*-0.5</f>
        <v>3.6500000000000005E-2</v>
      </c>
      <c r="W195">
        <f>M195*0.5+G195*0.25+I195*0.25</f>
        <v>0.44324999999999998</v>
      </c>
    </row>
    <row r="196" spans="1:23" x14ac:dyDescent="0.2">
      <c r="A196">
        <v>0.13900000000000001</v>
      </c>
      <c r="B196">
        <v>11</v>
      </c>
      <c r="C196">
        <v>4</v>
      </c>
      <c r="D196">
        <v>7.8E-2</v>
      </c>
      <c r="E196">
        <v>-3.1440000000000001</v>
      </c>
      <c r="F196">
        <v>180267</v>
      </c>
      <c r="G196">
        <v>0.61599999999999999</v>
      </c>
      <c r="H196">
        <v>179</v>
      </c>
      <c r="I196">
        <v>0.53100000000000003</v>
      </c>
      <c r="J196">
        <v>4.9399999999999999E-3</v>
      </c>
      <c r="K196" t="s">
        <v>221</v>
      </c>
      <c r="L196">
        <v>21</v>
      </c>
      <c r="M196">
        <v>0.96099999999999997</v>
      </c>
      <c r="N196">
        <v>114.492</v>
      </c>
      <c r="O196">
        <v>0</v>
      </c>
      <c r="P196">
        <v>0</v>
      </c>
      <c r="Q196">
        <v>16</v>
      </c>
      <c r="R196" t="s">
        <v>222</v>
      </c>
      <c r="S196" t="s">
        <v>223</v>
      </c>
      <c r="T196">
        <f>I196*-0.5+M196*0.5</f>
        <v>0.21499999999999997</v>
      </c>
      <c r="U196">
        <f>I196*0.7+M196*-0.25+D196*-0.25</f>
        <v>0.11194999999999998</v>
      </c>
      <c r="V196">
        <f>J196*0.5+I196*-0.5</f>
        <v>-0.26302999999999999</v>
      </c>
      <c r="W196">
        <f>M196*0.5+G196*0.25+I196*0.25</f>
        <v>0.76724999999999999</v>
      </c>
    </row>
    <row r="197" spans="1:23" x14ac:dyDescent="0.2">
      <c r="A197">
        <v>6.1600000000000002E-2</v>
      </c>
      <c r="B197">
        <v>0</v>
      </c>
      <c r="C197">
        <v>4</v>
      </c>
      <c r="D197">
        <v>0.51800000000000002</v>
      </c>
      <c r="E197">
        <v>-4.4160000000000004</v>
      </c>
      <c r="F197">
        <v>264520</v>
      </c>
      <c r="G197">
        <v>0.61</v>
      </c>
      <c r="H197">
        <v>241</v>
      </c>
      <c r="I197">
        <v>0.46100000000000002</v>
      </c>
      <c r="J197">
        <v>2.0699999999999998E-3</v>
      </c>
      <c r="K197" t="s">
        <v>269</v>
      </c>
      <c r="L197">
        <v>41</v>
      </c>
      <c r="M197">
        <v>0.89</v>
      </c>
      <c r="N197">
        <v>131.08500000000001</v>
      </c>
      <c r="O197">
        <v>1.3599999999999999E-2</v>
      </c>
      <c r="P197">
        <v>1</v>
      </c>
      <c r="Q197">
        <v>3</v>
      </c>
      <c r="R197" t="s">
        <v>270</v>
      </c>
      <c r="S197" t="s">
        <v>271</v>
      </c>
      <c r="T197">
        <f>I197*-0.5+M197*0.5</f>
        <v>0.2145</v>
      </c>
      <c r="U197">
        <f>I197*0.7+M197*-0.25+D197*-0.25</f>
        <v>-2.930000000000002E-2</v>
      </c>
      <c r="V197">
        <f>J197*0.5+I197*-0.5</f>
        <v>-0.229465</v>
      </c>
      <c r="W197">
        <f>M197*0.5+G197*0.25+I197*0.25</f>
        <v>0.71274999999999999</v>
      </c>
    </row>
    <row r="198" spans="1:23" x14ac:dyDescent="0.2">
      <c r="A198">
        <v>3.2099999999999997E-2</v>
      </c>
      <c r="B198">
        <v>10</v>
      </c>
      <c r="C198">
        <v>4</v>
      </c>
      <c r="D198">
        <v>0.111</v>
      </c>
      <c r="E198">
        <v>-5.008</v>
      </c>
      <c r="F198">
        <v>214533</v>
      </c>
      <c r="G198">
        <v>0.65100000000000002</v>
      </c>
      <c r="H198">
        <v>212</v>
      </c>
      <c r="I198">
        <v>0.161</v>
      </c>
      <c r="J198">
        <v>6.5199999999999994E-2</v>
      </c>
      <c r="K198" t="s">
        <v>883</v>
      </c>
      <c r="L198">
        <v>52</v>
      </c>
      <c r="M198">
        <v>0.59</v>
      </c>
      <c r="N198">
        <v>113.991</v>
      </c>
      <c r="O198">
        <v>0</v>
      </c>
      <c r="P198">
        <v>1</v>
      </c>
      <c r="Q198">
        <v>17</v>
      </c>
      <c r="R198" t="s">
        <v>884</v>
      </c>
      <c r="S198" t="s">
        <v>885</v>
      </c>
      <c r="T198">
        <f>I198*-0.5+M198*0.5</f>
        <v>0.21449999999999997</v>
      </c>
      <c r="U198">
        <f>I198*0.7+M198*-0.25+D198*-0.25</f>
        <v>-6.2549999999999994E-2</v>
      </c>
      <c r="V198">
        <f>J198*0.5+I198*-0.5</f>
        <v>-4.7900000000000005E-2</v>
      </c>
      <c r="W198">
        <f>M198*0.5+G198*0.25+I198*0.25</f>
        <v>0.498</v>
      </c>
    </row>
    <row r="199" spans="1:23" x14ac:dyDescent="0.2">
      <c r="A199">
        <v>2.8500000000000001E-2</v>
      </c>
      <c r="B199">
        <v>5</v>
      </c>
      <c r="C199">
        <v>4</v>
      </c>
      <c r="D199">
        <v>0.57499999999999996</v>
      </c>
      <c r="E199">
        <v>-4.7329999999999997</v>
      </c>
      <c r="F199">
        <v>181947</v>
      </c>
      <c r="G199">
        <v>0.64500000000000002</v>
      </c>
      <c r="H199">
        <v>180</v>
      </c>
      <c r="I199">
        <v>0.26800000000000002</v>
      </c>
      <c r="J199">
        <v>7.3899999999999993E-2</v>
      </c>
      <c r="K199" t="s">
        <v>713</v>
      </c>
      <c r="L199">
        <v>30</v>
      </c>
      <c r="M199">
        <v>0.69699999999999995</v>
      </c>
      <c r="N199">
        <v>130.001</v>
      </c>
      <c r="O199">
        <v>8.4199999999999998E-4</v>
      </c>
      <c r="P199">
        <v>0</v>
      </c>
      <c r="Q199">
        <v>3</v>
      </c>
      <c r="R199" t="s">
        <v>714</v>
      </c>
      <c r="S199" t="s">
        <v>715</v>
      </c>
      <c r="T199">
        <f>I199*-0.5+M199*0.5</f>
        <v>0.21449999999999997</v>
      </c>
      <c r="U199">
        <f>I199*0.7+M199*-0.25+D199*-0.25</f>
        <v>-0.13039999999999999</v>
      </c>
      <c r="V199">
        <f>J199*0.5+I199*-0.5</f>
        <v>-9.7050000000000011E-2</v>
      </c>
      <c r="W199">
        <f>M199*0.5+G199*0.25+I199*0.25</f>
        <v>0.57674999999999987</v>
      </c>
    </row>
    <row r="200" spans="1:23" x14ac:dyDescent="0.2">
      <c r="A200">
        <v>3.8699999999999998E-2</v>
      </c>
      <c r="B200">
        <v>9</v>
      </c>
      <c r="C200">
        <v>4</v>
      </c>
      <c r="D200">
        <v>0.10199999999999999</v>
      </c>
      <c r="E200">
        <v>-7.48</v>
      </c>
      <c r="F200">
        <v>212733</v>
      </c>
      <c r="G200">
        <v>0.246</v>
      </c>
      <c r="H200">
        <v>212</v>
      </c>
      <c r="I200">
        <v>0.34100000000000003</v>
      </c>
      <c r="J200">
        <v>6.3100000000000005E-4</v>
      </c>
      <c r="K200" t="s">
        <v>450</v>
      </c>
      <c r="L200">
        <v>9</v>
      </c>
      <c r="M200">
        <v>0.76800000000000002</v>
      </c>
      <c r="N200">
        <v>169.87299999999999</v>
      </c>
      <c r="O200">
        <v>0.30099999999999999</v>
      </c>
      <c r="P200">
        <v>1</v>
      </c>
      <c r="Q200">
        <v>19</v>
      </c>
      <c r="R200" t="s">
        <v>451</v>
      </c>
      <c r="S200" t="s">
        <v>452</v>
      </c>
      <c r="T200">
        <f>I200*-0.5+M200*0.5</f>
        <v>0.2135</v>
      </c>
      <c r="U200">
        <f>I200*0.7+M200*-0.25+D200*-0.25</f>
        <v>2.1199999999999993E-2</v>
      </c>
      <c r="V200">
        <f>J200*0.5+I200*-0.5</f>
        <v>-0.17018450000000002</v>
      </c>
      <c r="W200">
        <f>M200*0.5+G200*0.25+I200*0.25</f>
        <v>0.53075000000000006</v>
      </c>
    </row>
    <row r="201" spans="1:23" x14ac:dyDescent="0.2">
      <c r="A201">
        <v>3.78E-2</v>
      </c>
      <c r="B201">
        <v>7</v>
      </c>
      <c r="C201">
        <v>4</v>
      </c>
      <c r="D201">
        <v>0.11</v>
      </c>
      <c r="E201">
        <v>-5.117</v>
      </c>
      <c r="F201">
        <v>196867</v>
      </c>
      <c r="G201">
        <v>0.67400000000000004</v>
      </c>
      <c r="H201">
        <v>194</v>
      </c>
      <c r="I201">
        <v>0.38400000000000001</v>
      </c>
      <c r="J201">
        <v>9.2299999999999993E-2</v>
      </c>
      <c r="K201" t="s">
        <v>610</v>
      </c>
      <c r="L201">
        <v>46</v>
      </c>
      <c r="M201">
        <v>0.81</v>
      </c>
      <c r="N201">
        <v>94.995000000000005</v>
      </c>
      <c r="O201" s="1">
        <v>4.74E-5</v>
      </c>
      <c r="P201">
        <v>0</v>
      </c>
      <c r="Q201">
        <v>11</v>
      </c>
      <c r="R201" t="s">
        <v>611</v>
      </c>
      <c r="S201" t="s">
        <v>612</v>
      </c>
      <c r="T201">
        <f>I201*-0.5+M201*0.5</f>
        <v>0.21300000000000002</v>
      </c>
      <c r="U201">
        <f>I201*0.7+M201*-0.25+D201*-0.25</f>
        <v>3.8799999999999973E-2</v>
      </c>
      <c r="V201">
        <f>J201*0.5+I201*-0.5</f>
        <v>-0.14585000000000001</v>
      </c>
      <c r="W201">
        <f>M201*0.5+G201*0.25+I201*0.25</f>
        <v>0.66949999999999998</v>
      </c>
    </row>
    <row r="202" spans="1:23" x14ac:dyDescent="0.2">
      <c r="A202">
        <v>3.3000000000000002E-2</v>
      </c>
      <c r="B202">
        <v>0</v>
      </c>
      <c r="C202">
        <v>4</v>
      </c>
      <c r="D202">
        <v>0.11799999999999999</v>
      </c>
      <c r="E202">
        <v>-8.4760000000000009</v>
      </c>
      <c r="F202">
        <v>274800</v>
      </c>
      <c r="G202">
        <v>0.42</v>
      </c>
      <c r="H202">
        <v>232</v>
      </c>
      <c r="I202">
        <v>0.121</v>
      </c>
      <c r="J202">
        <v>3.8E-3</v>
      </c>
      <c r="K202" t="s">
        <v>752</v>
      </c>
      <c r="L202">
        <v>6</v>
      </c>
      <c r="M202">
        <v>0.54600000000000004</v>
      </c>
      <c r="N202">
        <v>138.946</v>
      </c>
      <c r="O202">
        <v>7.8700000000000005E-4</v>
      </c>
      <c r="P202">
        <v>1</v>
      </c>
      <c r="Q202">
        <v>16</v>
      </c>
      <c r="R202" t="s">
        <v>422</v>
      </c>
      <c r="S202" t="s">
        <v>753</v>
      </c>
      <c r="T202">
        <f>I202*-0.5+M202*0.5</f>
        <v>0.21250000000000002</v>
      </c>
      <c r="U202">
        <f>I202*0.7+M202*-0.25+D202*-0.25</f>
        <v>-8.1300000000000011E-2</v>
      </c>
      <c r="V202">
        <f>J202*0.5+I202*-0.5</f>
        <v>-5.8599999999999999E-2</v>
      </c>
      <c r="W202">
        <f>M202*0.5+G202*0.25+I202*0.25</f>
        <v>0.40825</v>
      </c>
    </row>
    <row r="203" spans="1:23" x14ac:dyDescent="0.2">
      <c r="A203">
        <v>7.0699999999999999E-2</v>
      </c>
      <c r="B203">
        <v>7</v>
      </c>
      <c r="C203">
        <v>4</v>
      </c>
      <c r="D203">
        <v>0.21199999999999999</v>
      </c>
      <c r="E203">
        <v>-2.996</v>
      </c>
      <c r="F203">
        <v>216667</v>
      </c>
      <c r="G203">
        <v>0.51600000000000001</v>
      </c>
      <c r="H203">
        <v>214</v>
      </c>
      <c r="I203">
        <v>0.48699999999999999</v>
      </c>
      <c r="J203">
        <v>1.4499999999999999E-3</v>
      </c>
      <c r="K203" t="s">
        <v>262</v>
      </c>
      <c r="L203">
        <v>25</v>
      </c>
      <c r="M203">
        <v>0.91</v>
      </c>
      <c r="N203">
        <v>145.929</v>
      </c>
      <c r="O203">
        <v>7.7299999999999999E-3</v>
      </c>
      <c r="P203">
        <v>0</v>
      </c>
      <c r="Q203">
        <v>15</v>
      </c>
      <c r="R203" t="s">
        <v>211</v>
      </c>
      <c r="S203" t="s">
        <v>263</v>
      </c>
      <c r="T203">
        <f>I203*-0.5+M203*0.5</f>
        <v>0.21150000000000002</v>
      </c>
      <c r="U203">
        <f>I203*0.7+M203*-0.25+D203*-0.25</f>
        <v>6.0399999999999975E-2</v>
      </c>
      <c r="V203">
        <f>J203*0.5+I203*-0.5</f>
        <v>-0.24277499999999999</v>
      </c>
      <c r="W203">
        <f>M203*0.5+G203*0.25+I203*0.25</f>
        <v>0.7057500000000001</v>
      </c>
    </row>
    <row r="204" spans="1:23" x14ac:dyDescent="0.2">
      <c r="A204">
        <v>3.5099999999999999E-2</v>
      </c>
      <c r="B204">
        <v>8</v>
      </c>
      <c r="C204">
        <v>4</v>
      </c>
      <c r="D204">
        <v>8.7999999999999995E-2</v>
      </c>
      <c r="E204">
        <v>-4.8099999999999996</v>
      </c>
      <c r="F204">
        <v>212305</v>
      </c>
      <c r="G204">
        <v>0.69</v>
      </c>
      <c r="H204">
        <v>210</v>
      </c>
      <c r="I204">
        <v>0.27400000000000002</v>
      </c>
      <c r="J204">
        <v>9.7299999999999998E-2</v>
      </c>
      <c r="K204" t="s">
        <v>818</v>
      </c>
      <c r="L204">
        <v>61</v>
      </c>
      <c r="M204">
        <v>0.69699999999999995</v>
      </c>
      <c r="N204">
        <v>122.048</v>
      </c>
      <c r="O204">
        <v>0</v>
      </c>
      <c r="P204">
        <v>0</v>
      </c>
      <c r="Q204">
        <v>13</v>
      </c>
      <c r="R204" t="s">
        <v>819</v>
      </c>
      <c r="S204" t="s">
        <v>820</v>
      </c>
      <c r="T204">
        <f>I204*-0.5+M204*0.5</f>
        <v>0.21149999999999997</v>
      </c>
      <c r="U204">
        <f>I204*0.7+M204*-0.25+D204*-0.25</f>
        <v>-4.4499999999999887E-3</v>
      </c>
      <c r="V204">
        <f>J204*0.5+I204*-0.5</f>
        <v>-8.8350000000000012E-2</v>
      </c>
      <c r="W204">
        <f>M204*0.5+G204*0.25+I204*0.25</f>
        <v>0.58949999999999991</v>
      </c>
    </row>
    <row r="205" spans="1:23" x14ac:dyDescent="0.2">
      <c r="A205">
        <v>9.4299999999999995E-2</v>
      </c>
      <c r="B205">
        <v>3</v>
      </c>
      <c r="C205">
        <v>4</v>
      </c>
      <c r="D205">
        <v>0.10199999999999999</v>
      </c>
      <c r="E205">
        <v>-3.4929999999999999</v>
      </c>
      <c r="F205">
        <v>232267</v>
      </c>
      <c r="G205">
        <v>0.39700000000000002</v>
      </c>
      <c r="H205">
        <v>232</v>
      </c>
      <c r="I205">
        <v>0.48099999999999998</v>
      </c>
      <c r="J205">
        <v>2.5799999999999998E-3</v>
      </c>
      <c r="K205" t="s">
        <v>275</v>
      </c>
      <c r="L205">
        <v>21</v>
      </c>
      <c r="M205">
        <v>0.90300000000000002</v>
      </c>
      <c r="N205">
        <v>166.86500000000001</v>
      </c>
      <c r="O205">
        <v>0</v>
      </c>
      <c r="P205">
        <v>1</v>
      </c>
      <c r="Q205">
        <v>17</v>
      </c>
      <c r="R205" t="s">
        <v>64</v>
      </c>
      <c r="S205" t="s">
        <v>276</v>
      </c>
      <c r="T205">
        <f>I205*-0.5+M205*0.5</f>
        <v>0.21100000000000002</v>
      </c>
      <c r="U205">
        <f>I205*0.7+M205*-0.25+D205*-0.25</f>
        <v>8.5449999999999943E-2</v>
      </c>
      <c r="V205">
        <f>J205*0.5+I205*-0.5</f>
        <v>-0.23920999999999998</v>
      </c>
      <c r="W205">
        <f>M205*0.5+G205*0.25+I205*0.25</f>
        <v>0.67100000000000004</v>
      </c>
    </row>
    <row r="206" spans="1:23" x14ac:dyDescent="0.2">
      <c r="A206">
        <v>3.3000000000000002E-2</v>
      </c>
      <c r="B206">
        <v>7</v>
      </c>
      <c r="C206">
        <v>4</v>
      </c>
      <c r="D206">
        <v>0.104</v>
      </c>
      <c r="E206">
        <v>-5.66</v>
      </c>
      <c r="F206">
        <v>260507</v>
      </c>
      <c r="G206">
        <v>0.496</v>
      </c>
      <c r="H206">
        <v>254</v>
      </c>
      <c r="I206">
        <v>0.34399999999999997</v>
      </c>
      <c r="J206">
        <v>4.5700000000000003E-3</v>
      </c>
      <c r="K206" t="s">
        <v>498</v>
      </c>
      <c r="L206">
        <v>12</v>
      </c>
      <c r="M206">
        <v>0.76500000000000001</v>
      </c>
      <c r="N206">
        <v>74.072000000000003</v>
      </c>
      <c r="O206">
        <v>0</v>
      </c>
      <c r="P206">
        <v>1</v>
      </c>
      <c r="Q206">
        <v>20</v>
      </c>
      <c r="R206" t="s">
        <v>454</v>
      </c>
      <c r="S206" t="s">
        <v>499</v>
      </c>
      <c r="T206">
        <f>I206*-0.5+M206*0.5</f>
        <v>0.21050000000000002</v>
      </c>
      <c r="U206">
        <f>I206*0.7+M206*-0.25+D206*-0.25</f>
        <v>2.3549999999999956E-2</v>
      </c>
      <c r="V206">
        <f>J206*0.5+I206*-0.5</f>
        <v>-0.16971499999999998</v>
      </c>
      <c r="W206">
        <f>M206*0.5+G206*0.25+I206*0.25</f>
        <v>0.59249999999999992</v>
      </c>
    </row>
    <row r="207" spans="1:23" x14ac:dyDescent="0.2">
      <c r="A207">
        <v>3.32E-2</v>
      </c>
      <c r="B207">
        <v>4</v>
      </c>
      <c r="C207">
        <v>4</v>
      </c>
      <c r="D207">
        <v>0.36</v>
      </c>
      <c r="E207">
        <v>-5.81</v>
      </c>
      <c r="F207">
        <v>269493</v>
      </c>
      <c r="G207">
        <v>0.78100000000000003</v>
      </c>
      <c r="H207">
        <v>267</v>
      </c>
      <c r="I207">
        <v>0.32400000000000001</v>
      </c>
      <c r="J207">
        <v>0.19800000000000001</v>
      </c>
      <c r="K207" t="s">
        <v>1116</v>
      </c>
      <c r="L207">
        <v>34</v>
      </c>
      <c r="M207">
        <v>0.745</v>
      </c>
      <c r="N207">
        <v>129.99799999999999</v>
      </c>
      <c r="O207" s="1">
        <v>1.1399999999999999E-5</v>
      </c>
      <c r="P207">
        <v>0</v>
      </c>
      <c r="Q207">
        <v>5</v>
      </c>
      <c r="R207" t="s">
        <v>1117</v>
      </c>
      <c r="S207" t="s">
        <v>1118</v>
      </c>
      <c r="T207">
        <f>I207*-0.5+M207*0.5</f>
        <v>0.21049999999999999</v>
      </c>
      <c r="U207">
        <f>I207*0.7+M207*-0.25+D207*-0.25</f>
        <v>-4.9449999999999994E-2</v>
      </c>
      <c r="V207">
        <f>J207*0.5+I207*-0.5</f>
        <v>-6.3E-2</v>
      </c>
      <c r="W207">
        <f>M207*0.5+G207*0.25+I207*0.25</f>
        <v>0.64874999999999994</v>
      </c>
    </row>
    <row r="208" spans="1:23" x14ac:dyDescent="0.2">
      <c r="A208">
        <v>4.4900000000000002E-2</v>
      </c>
      <c r="B208">
        <v>0</v>
      </c>
      <c r="C208">
        <v>4</v>
      </c>
      <c r="D208">
        <v>0.17</v>
      </c>
      <c r="E208">
        <v>-3.657</v>
      </c>
      <c r="F208">
        <v>177547</v>
      </c>
      <c r="G208">
        <v>0.51400000000000001</v>
      </c>
      <c r="H208">
        <v>175</v>
      </c>
      <c r="I208">
        <v>0.44600000000000001</v>
      </c>
      <c r="J208">
        <v>5.2400000000000002E-2</v>
      </c>
      <c r="K208" t="s">
        <v>476</v>
      </c>
      <c r="L208">
        <v>43</v>
      </c>
      <c r="M208">
        <v>0.86599999999999999</v>
      </c>
      <c r="N208">
        <v>159.97300000000001</v>
      </c>
      <c r="O208">
        <v>0</v>
      </c>
      <c r="P208">
        <v>1</v>
      </c>
      <c r="Q208">
        <v>17</v>
      </c>
      <c r="R208" t="s">
        <v>477</v>
      </c>
      <c r="S208" t="s">
        <v>478</v>
      </c>
      <c r="T208">
        <f>I208*-0.5+M208*0.5</f>
        <v>0.21</v>
      </c>
      <c r="U208">
        <f>I208*0.7+M208*-0.25+D208*-0.25</f>
        <v>5.3199999999999976E-2</v>
      </c>
      <c r="V208">
        <f>J208*0.5+I208*-0.5</f>
        <v>-0.1968</v>
      </c>
      <c r="W208">
        <f>M208*0.5+G208*0.25+I208*0.25</f>
        <v>0.67300000000000004</v>
      </c>
    </row>
    <row r="209" spans="1:23" x14ac:dyDescent="0.2">
      <c r="A209">
        <v>5.1700000000000003E-2</v>
      </c>
      <c r="B209">
        <v>0</v>
      </c>
      <c r="C209">
        <v>4</v>
      </c>
      <c r="D209">
        <v>0.12</v>
      </c>
      <c r="E209">
        <v>-3.516</v>
      </c>
      <c r="F209">
        <v>212647</v>
      </c>
      <c r="G209">
        <v>0.56499999999999995</v>
      </c>
      <c r="H209">
        <v>256</v>
      </c>
      <c r="I209">
        <v>0.43</v>
      </c>
      <c r="J209">
        <v>8.6800000000000002E-3</v>
      </c>
      <c r="K209" t="s">
        <v>388</v>
      </c>
      <c r="L209">
        <v>60</v>
      </c>
      <c r="M209">
        <v>0.84899999999999998</v>
      </c>
      <c r="N209">
        <v>102.03400000000001</v>
      </c>
      <c r="O209" s="1">
        <v>4.6800000000000001E-6</v>
      </c>
      <c r="P209">
        <v>0</v>
      </c>
      <c r="Q209">
        <v>15</v>
      </c>
      <c r="R209" t="s">
        <v>116</v>
      </c>
      <c r="S209" t="s">
        <v>389</v>
      </c>
      <c r="T209">
        <f>I209*-0.5+M209*0.5</f>
        <v>0.20949999999999999</v>
      </c>
      <c r="U209">
        <f>I209*0.7+M209*-0.25+D209*-0.25</f>
        <v>5.8749999999999997E-2</v>
      </c>
      <c r="V209">
        <f>J209*0.5+I209*-0.5</f>
        <v>-0.21065999999999999</v>
      </c>
      <c r="W209">
        <f>M209*0.5+G209*0.25+I209*0.25</f>
        <v>0.67325000000000002</v>
      </c>
    </row>
    <row r="210" spans="1:23" x14ac:dyDescent="0.2">
      <c r="A210">
        <v>3.8199999999999998E-2</v>
      </c>
      <c r="B210">
        <v>9</v>
      </c>
      <c r="C210">
        <v>4</v>
      </c>
      <c r="D210">
        <v>0.19700000000000001</v>
      </c>
      <c r="E210">
        <v>-4.6820000000000004</v>
      </c>
      <c r="F210">
        <v>198973</v>
      </c>
      <c r="G210">
        <v>0.54800000000000004</v>
      </c>
      <c r="H210">
        <v>195</v>
      </c>
      <c r="I210">
        <v>0.47099999999999997</v>
      </c>
      <c r="J210">
        <v>1.65E-3</v>
      </c>
      <c r="K210" t="s">
        <v>287</v>
      </c>
      <c r="L210">
        <v>20</v>
      </c>
      <c r="M210">
        <v>0.88900000000000001</v>
      </c>
      <c r="N210">
        <v>90.048000000000002</v>
      </c>
      <c r="O210">
        <v>1.09E-3</v>
      </c>
      <c r="P210">
        <v>1</v>
      </c>
      <c r="Q210">
        <v>11</v>
      </c>
      <c r="R210" t="s">
        <v>211</v>
      </c>
      <c r="S210" t="s">
        <v>288</v>
      </c>
      <c r="T210">
        <f>I210*-0.5+M210*0.5</f>
        <v>0.20900000000000002</v>
      </c>
      <c r="U210">
        <f>I210*0.7+M210*-0.25+D210*-0.25</f>
        <v>5.8199999999999932E-2</v>
      </c>
      <c r="V210">
        <f>J210*0.5+I210*-0.5</f>
        <v>-0.23467499999999999</v>
      </c>
      <c r="W210">
        <f>M210*0.5+G210*0.25+I210*0.25</f>
        <v>0.69925000000000004</v>
      </c>
    </row>
    <row r="211" spans="1:23" x14ac:dyDescent="0.2">
      <c r="A211">
        <v>2.8299999999999999E-2</v>
      </c>
      <c r="B211">
        <v>5</v>
      </c>
      <c r="C211">
        <v>4</v>
      </c>
      <c r="D211">
        <v>0.182</v>
      </c>
      <c r="E211">
        <v>-4.806</v>
      </c>
      <c r="F211">
        <v>238360</v>
      </c>
      <c r="G211">
        <v>0.59199999999999997</v>
      </c>
      <c r="H211">
        <v>236</v>
      </c>
      <c r="I211">
        <v>0.41499999999999998</v>
      </c>
      <c r="J211">
        <v>3.9699999999999996E-3</v>
      </c>
      <c r="K211" t="s">
        <v>410</v>
      </c>
      <c r="L211">
        <v>54</v>
      </c>
      <c r="M211">
        <v>0.83199999999999996</v>
      </c>
      <c r="N211">
        <v>127.97199999999999</v>
      </c>
      <c r="O211">
        <v>0.16</v>
      </c>
      <c r="P211">
        <v>1</v>
      </c>
      <c r="Q211">
        <v>20</v>
      </c>
      <c r="R211" t="s">
        <v>411</v>
      </c>
      <c r="S211" t="s">
        <v>412</v>
      </c>
      <c r="T211">
        <f>I211*-0.5+M211*0.5</f>
        <v>0.20849999999999999</v>
      </c>
      <c r="U211">
        <f>I211*0.7+M211*-0.25+D211*-0.25</f>
        <v>3.6999999999999991E-2</v>
      </c>
      <c r="V211">
        <f>J211*0.5+I211*-0.5</f>
        <v>-0.205515</v>
      </c>
      <c r="W211">
        <f>M211*0.5+G211*0.25+I211*0.25</f>
        <v>0.66774999999999995</v>
      </c>
    </row>
    <row r="212" spans="1:23" x14ac:dyDescent="0.2">
      <c r="A212">
        <v>3.6200000000000003E-2</v>
      </c>
      <c r="B212">
        <v>7</v>
      </c>
      <c r="C212">
        <v>4</v>
      </c>
      <c r="D212">
        <v>0.13900000000000001</v>
      </c>
      <c r="E212">
        <v>-5.6779999999999999</v>
      </c>
      <c r="F212">
        <v>244840</v>
      </c>
      <c r="G212">
        <v>0.42599999999999999</v>
      </c>
      <c r="H212">
        <v>244</v>
      </c>
      <c r="I212">
        <v>0.32600000000000001</v>
      </c>
      <c r="J212">
        <v>0.14199999999999999</v>
      </c>
      <c r="K212" t="s">
        <v>933</v>
      </c>
      <c r="L212">
        <v>22</v>
      </c>
      <c r="M212">
        <v>0.74199999999999999</v>
      </c>
      <c r="N212">
        <v>150.06700000000001</v>
      </c>
      <c r="O212">
        <v>0</v>
      </c>
      <c r="P212">
        <v>1</v>
      </c>
      <c r="Q212">
        <v>10</v>
      </c>
      <c r="R212" t="s">
        <v>559</v>
      </c>
      <c r="S212" t="s">
        <v>934</v>
      </c>
      <c r="T212">
        <f>I212*-0.5+M212*0.5</f>
        <v>0.20799999999999999</v>
      </c>
      <c r="U212">
        <f>I212*0.7+M212*-0.25+D212*-0.25</f>
        <v>7.9499999999999849E-3</v>
      </c>
      <c r="V212">
        <f>J212*0.5+I212*-0.5</f>
        <v>-9.2000000000000012E-2</v>
      </c>
      <c r="W212">
        <f>M212*0.5+G212*0.25+I212*0.25</f>
        <v>0.55899999999999994</v>
      </c>
    </row>
    <row r="213" spans="1:23" x14ac:dyDescent="0.2">
      <c r="A213">
        <v>3.2800000000000003E-2</v>
      </c>
      <c r="B213">
        <v>7</v>
      </c>
      <c r="C213">
        <v>4</v>
      </c>
      <c r="D213">
        <v>0.13100000000000001</v>
      </c>
      <c r="E213">
        <v>-3.3140000000000001</v>
      </c>
      <c r="F213">
        <v>221293</v>
      </c>
      <c r="G213">
        <v>0.48399999999999999</v>
      </c>
      <c r="H213">
        <v>231</v>
      </c>
      <c r="I213">
        <v>0.189</v>
      </c>
      <c r="J213">
        <v>0.14899999999999999</v>
      </c>
      <c r="K213" t="s">
        <v>1220</v>
      </c>
      <c r="L213">
        <v>40</v>
      </c>
      <c r="M213">
        <v>0.60399999999999998</v>
      </c>
      <c r="N213">
        <v>103.316</v>
      </c>
      <c r="O213">
        <v>0</v>
      </c>
      <c r="P213">
        <v>1</v>
      </c>
      <c r="Q213">
        <v>16</v>
      </c>
      <c r="R213" t="s">
        <v>397</v>
      </c>
      <c r="S213" t="s">
        <v>1221</v>
      </c>
      <c r="T213">
        <f>I213*-0.5+M213*0.5</f>
        <v>0.20749999999999999</v>
      </c>
      <c r="U213">
        <f>I213*0.7+M213*-0.25+D213*-0.25</f>
        <v>-5.1449999999999996E-2</v>
      </c>
      <c r="V213">
        <f>J213*0.5+I213*-0.5</f>
        <v>-2.0000000000000004E-2</v>
      </c>
      <c r="W213">
        <f>M213*0.5+G213*0.25+I213*0.25</f>
        <v>0.47025</v>
      </c>
    </row>
    <row r="214" spans="1:23" x14ac:dyDescent="0.2">
      <c r="A214">
        <v>3.56E-2</v>
      </c>
      <c r="B214">
        <v>11</v>
      </c>
      <c r="C214">
        <v>4</v>
      </c>
      <c r="D214">
        <v>0.17899999999999999</v>
      </c>
      <c r="E214">
        <v>-6.5250000000000004</v>
      </c>
      <c r="F214">
        <v>241440</v>
      </c>
      <c r="G214">
        <v>0.52600000000000002</v>
      </c>
      <c r="H214">
        <v>240</v>
      </c>
      <c r="I214">
        <v>0.29899999999999999</v>
      </c>
      <c r="J214">
        <v>1.61E-2</v>
      </c>
      <c r="K214" t="s">
        <v>592</v>
      </c>
      <c r="L214">
        <v>43</v>
      </c>
      <c r="M214">
        <v>0.71199999999999997</v>
      </c>
      <c r="N214">
        <v>105.009</v>
      </c>
      <c r="O214">
        <v>0</v>
      </c>
      <c r="P214">
        <v>0</v>
      </c>
      <c r="Q214">
        <v>14</v>
      </c>
      <c r="R214" t="s">
        <v>593</v>
      </c>
      <c r="S214" t="s">
        <v>594</v>
      </c>
      <c r="T214">
        <f>I214*-0.5+M214*0.5</f>
        <v>0.20649999999999999</v>
      </c>
      <c r="U214">
        <f>I214*0.7+M214*-0.25+D214*-0.25</f>
        <v>-1.3450000000000004E-2</v>
      </c>
      <c r="V214">
        <f>J214*0.5+I214*-0.5</f>
        <v>-0.14144999999999999</v>
      </c>
      <c r="W214">
        <f>M214*0.5+G214*0.25+I214*0.25</f>
        <v>0.56225000000000003</v>
      </c>
    </row>
    <row r="215" spans="1:23" x14ac:dyDescent="0.2">
      <c r="A215">
        <v>6.3500000000000001E-2</v>
      </c>
      <c r="B215">
        <v>4</v>
      </c>
      <c r="C215">
        <v>4</v>
      </c>
      <c r="D215">
        <v>0.68</v>
      </c>
      <c r="E215">
        <v>-6.4290000000000003</v>
      </c>
      <c r="F215">
        <v>231013</v>
      </c>
      <c r="G215">
        <v>0.46500000000000002</v>
      </c>
      <c r="H215">
        <v>228</v>
      </c>
      <c r="I215">
        <v>0.33200000000000002</v>
      </c>
      <c r="J215">
        <v>1.8000000000000001E-4</v>
      </c>
      <c r="K215" t="s">
        <v>530</v>
      </c>
      <c r="L215">
        <v>53</v>
      </c>
      <c r="M215">
        <v>0.74399999999999999</v>
      </c>
      <c r="N215">
        <v>189.928</v>
      </c>
      <c r="O215">
        <v>0</v>
      </c>
      <c r="P215">
        <v>0</v>
      </c>
      <c r="Q215">
        <v>3</v>
      </c>
      <c r="R215" t="s">
        <v>108</v>
      </c>
      <c r="S215" t="s">
        <v>531</v>
      </c>
      <c r="T215">
        <f>I215*-0.5+M215*0.5</f>
        <v>0.20599999999999999</v>
      </c>
      <c r="U215">
        <f>I215*0.7+M215*-0.25+D215*-0.25</f>
        <v>-0.12360000000000002</v>
      </c>
      <c r="V215">
        <f>J215*0.5+I215*-0.5</f>
        <v>-0.16591</v>
      </c>
      <c r="W215">
        <f>M215*0.5+G215*0.25+I215*0.25</f>
        <v>0.57125000000000004</v>
      </c>
    </row>
    <row r="216" spans="1:23" x14ac:dyDescent="0.2">
      <c r="A216">
        <v>3.5000000000000003E-2</v>
      </c>
      <c r="B216">
        <v>0</v>
      </c>
      <c r="C216">
        <v>4</v>
      </c>
      <c r="D216">
        <v>0.32300000000000001</v>
      </c>
      <c r="E216">
        <v>-4.4969999999999999</v>
      </c>
      <c r="F216">
        <v>231453</v>
      </c>
      <c r="G216">
        <v>0.46200000000000002</v>
      </c>
      <c r="H216">
        <v>228</v>
      </c>
      <c r="I216">
        <v>0.379</v>
      </c>
      <c r="J216">
        <v>1.15E-2</v>
      </c>
      <c r="K216" t="s">
        <v>506</v>
      </c>
      <c r="L216">
        <v>30</v>
      </c>
      <c r="M216">
        <v>0.79</v>
      </c>
      <c r="N216">
        <v>129.976</v>
      </c>
      <c r="O216">
        <v>0</v>
      </c>
      <c r="P216">
        <v>1</v>
      </c>
      <c r="Q216">
        <v>15</v>
      </c>
      <c r="R216" t="s">
        <v>507</v>
      </c>
      <c r="S216" t="s">
        <v>508</v>
      </c>
      <c r="T216">
        <f>I216*-0.5+M216*0.5</f>
        <v>0.20550000000000002</v>
      </c>
      <c r="U216">
        <f>I216*0.7+M216*-0.25+D216*-0.25</f>
        <v>-1.2950000000000031E-2</v>
      </c>
      <c r="V216">
        <f>J216*0.5+I216*-0.5</f>
        <v>-0.18375</v>
      </c>
      <c r="W216">
        <f>M216*0.5+G216*0.25+I216*0.25</f>
        <v>0.60525000000000007</v>
      </c>
    </row>
    <row r="217" spans="1:23" x14ac:dyDescent="0.2">
      <c r="A217">
        <v>0.32700000000000001</v>
      </c>
      <c r="B217">
        <v>0</v>
      </c>
      <c r="C217">
        <v>4</v>
      </c>
      <c r="D217">
        <v>8.1199999999999994E-2</v>
      </c>
      <c r="E217">
        <v>-8.6509999999999998</v>
      </c>
      <c r="F217">
        <v>219427</v>
      </c>
      <c r="G217">
        <v>0.48299999999999998</v>
      </c>
      <c r="H217">
        <v>219</v>
      </c>
      <c r="I217">
        <v>0.23799999999999999</v>
      </c>
      <c r="J217">
        <v>0.187</v>
      </c>
      <c r="K217" t="s">
        <v>1292</v>
      </c>
      <c r="L217">
        <v>39</v>
      </c>
      <c r="M217">
        <v>0.64800000000000002</v>
      </c>
      <c r="N217">
        <v>93.938999999999993</v>
      </c>
      <c r="O217">
        <v>0</v>
      </c>
      <c r="P217">
        <v>0</v>
      </c>
      <c r="Q217">
        <v>9</v>
      </c>
      <c r="R217" t="s">
        <v>491</v>
      </c>
      <c r="S217" t="s">
        <v>1293</v>
      </c>
      <c r="T217">
        <f>I217*-0.5+M217*0.5</f>
        <v>0.20500000000000002</v>
      </c>
      <c r="U217">
        <f>I217*0.7+M217*-0.25+D217*-0.25</f>
        <v>-1.5700000000000033E-2</v>
      </c>
      <c r="V217">
        <f>J217*0.5+I217*-0.5</f>
        <v>-2.5499999999999995E-2</v>
      </c>
      <c r="W217">
        <f>M217*0.5+G217*0.25+I217*0.25</f>
        <v>0.50424999999999998</v>
      </c>
    </row>
    <row r="218" spans="1:23" x14ac:dyDescent="0.2">
      <c r="A218">
        <v>4.4900000000000002E-2</v>
      </c>
      <c r="B218">
        <v>9</v>
      </c>
      <c r="C218">
        <v>4</v>
      </c>
      <c r="D218">
        <v>0.17299999999999999</v>
      </c>
      <c r="E218">
        <v>-4.4009999999999998</v>
      </c>
      <c r="F218">
        <v>213547</v>
      </c>
      <c r="G218">
        <v>0.55800000000000005</v>
      </c>
      <c r="H218">
        <v>223</v>
      </c>
      <c r="I218">
        <v>0.46200000000000002</v>
      </c>
      <c r="J218">
        <v>0.17799999999999999</v>
      </c>
      <c r="K218" t="s">
        <v>836</v>
      </c>
      <c r="L218">
        <v>43</v>
      </c>
      <c r="M218">
        <v>0.872</v>
      </c>
      <c r="N218">
        <v>143.971</v>
      </c>
      <c r="O218">
        <v>0</v>
      </c>
      <c r="P218">
        <v>1</v>
      </c>
      <c r="Q218">
        <v>16</v>
      </c>
      <c r="R218" t="s">
        <v>766</v>
      </c>
      <c r="S218" t="s">
        <v>837</v>
      </c>
      <c r="T218">
        <f>I218*-0.5+M218*0.5</f>
        <v>0.20499999999999999</v>
      </c>
      <c r="U218">
        <f>I218*0.7+M218*-0.25+D218*-0.25</f>
        <v>6.2150000000000025E-2</v>
      </c>
      <c r="V218">
        <f>J218*0.5+I218*-0.5</f>
        <v>-0.14200000000000002</v>
      </c>
      <c r="W218">
        <f>M218*0.5+G218*0.25+I218*0.25</f>
        <v>0.69100000000000006</v>
      </c>
    </row>
    <row r="219" spans="1:23" x14ac:dyDescent="0.2">
      <c r="A219">
        <v>3.5900000000000001E-2</v>
      </c>
      <c r="B219">
        <v>7</v>
      </c>
      <c r="C219">
        <v>4</v>
      </c>
      <c r="D219">
        <v>0.14899999999999999</v>
      </c>
      <c r="E219">
        <v>-3.887</v>
      </c>
      <c r="F219">
        <v>263787</v>
      </c>
      <c r="G219">
        <v>0.63800000000000001</v>
      </c>
      <c r="H219">
        <v>263</v>
      </c>
      <c r="I219">
        <v>0.51500000000000001</v>
      </c>
      <c r="J219">
        <v>2.0500000000000002E-3</v>
      </c>
      <c r="K219" t="s">
        <v>280</v>
      </c>
      <c r="L219">
        <v>57</v>
      </c>
      <c r="M219">
        <v>0.92400000000000004</v>
      </c>
      <c r="N219">
        <v>111.995</v>
      </c>
      <c r="O219">
        <v>1.73E-4</v>
      </c>
      <c r="P219">
        <v>1</v>
      </c>
      <c r="Q219">
        <v>13</v>
      </c>
      <c r="R219" t="s">
        <v>116</v>
      </c>
      <c r="S219" t="s">
        <v>281</v>
      </c>
      <c r="T219">
        <f>I219*-0.5+M219*0.5</f>
        <v>0.20450000000000002</v>
      </c>
      <c r="U219">
        <f>I219*0.7+M219*-0.25+D219*-0.25</f>
        <v>9.2249999999999971E-2</v>
      </c>
      <c r="V219">
        <f>J219*0.5+I219*-0.5</f>
        <v>-0.25647500000000001</v>
      </c>
      <c r="W219">
        <f>M219*0.5+G219*0.25+I219*0.25</f>
        <v>0.75025000000000008</v>
      </c>
    </row>
    <row r="220" spans="1:23" x14ac:dyDescent="0.2">
      <c r="A220">
        <v>0.318</v>
      </c>
      <c r="B220">
        <v>5</v>
      </c>
      <c r="C220">
        <v>5</v>
      </c>
      <c r="D220">
        <v>0.28899999999999998</v>
      </c>
      <c r="E220">
        <v>-3.238</v>
      </c>
      <c r="F220">
        <v>235987</v>
      </c>
      <c r="G220">
        <v>0.52100000000000002</v>
      </c>
      <c r="H220">
        <v>236</v>
      </c>
      <c r="I220">
        <v>0.44</v>
      </c>
      <c r="J220">
        <v>0.16800000000000001</v>
      </c>
      <c r="K220" t="s">
        <v>852</v>
      </c>
      <c r="L220">
        <v>33</v>
      </c>
      <c r="M220">
        <v>0.84899999999999998</v>
      </c>
      <c r="N220">
        <v>122.852</v>
      </c>
      <c r="O220">
        <v>0</v>
      </c>
      <c r="P220">
        <v>1</v>
      </c>
      <c r="Q220">
        <v>5</v>
      </c>
      <c r="R220" t="s">
        <v>853</v>
      </c>
      <c r="S220" t="s">
        <v>854</v>
      </c>
      <c r="T220">
        <f>I220*-0.5+M220*0.5</f>
        <v>0.20449999999999999</v>
      </c>
      <c r="U220">
        <f>I220*0.7+M220*-0.25+D220*-0.25</f>
        <v>2.3500000000000007E-2</v>
      </c>
      <c r="V220">
        <f>J220*0.5+I220*-0.5</f>
        <v>-0.13600000000000001</v>
      </c>
      <c r="W220">
        <f>M220*0.5+G220*0.25+I220*0.25</f>
        <v>0.66474999999999995</v>
      </c>
    </row>
    <row r="221" spans="1:23" x14ac:dyDescent="0.2">
      <c r="A221">
        <v>4.0300000000000002E-2</v>
      </c>
      <c r="B221">
        <v>5</v>
      </c>
      <c r="C221">
        <v>4</v>
      </c>
      <c r="D221">
        <v>0.499</v>
      </c>
      <c r="E221">
        <v>-6.6310000000000002</v>
      </c>
      <c r="F221">
        <v>251627</v>
      </c>
      <c r="G221">
        <v>0.49099999999999999</v>
      </c>
      <c r="H221">
        <v>250</v>
      </c>
      <c r="I221">
        <v>0.26900000000000002</v>
      </c>
      <c r="J221">
        <v>0.26200000000000001</v>
      </c>
      <c r="K221" t="s">
        <v>1587</v>
      </c>
      <c r="L221">
        <v>45</v>
      </c>
      <c r="M221">
        <v>0.67600000000000005</v>
      </c>
      <c r="N221">
        <v>124.852</v>
      </c>
      <c r="O221">
        <v>0</v>
      </c>
      <c r="P221">
        <v>1</v>
      </c>
      <c r="Q221">
        <v>4</v>
      </c>
      <c r="R221" t="s">
        <v>1148</v>
      </c>
      <c r="S221" t="s">
        <v>1588</v>
      </c>
      <c r="T221">
        <f>I221*-0.5+M221*0.5</f>
        <v>0.20350000000000001</v>
      </c>
      <c r="U221">
        <f>I221*0.7+M221*-0.25+D221*-0.25</f>
        <v>-0.10545000000000002</v>
      </c>
      <c r="V221">
        <f>J221*0.5+I221*-0.5</f>
        <v>-3.5000000000000031E-3</v>
      </c>
      <c r="W221">
        <f>M221*0.5+G221*0.25+I221*0.25</f>
        <v>0.52800000000000002</v>
      </c>
    </row>
    <row r="222" spans="1:23" x14ac:dyDescent="0.2">
      <c r="A222">
        <v>4.2099999999999999E-2</v>
      </c>
      <c r="B222">
        <v>6</v>
      </c>
      <c r="C222">
        <v>4</v>
      </c>
      <c r="D222">
        <v>0.13900000000000001</v>
      </c>
      <c r="E222">
        <v>-5.157</v>
      </c>
      <c r="F222">
        <v>231480</v>
      </c>
      <c r="G222">
        <v>0.498</v>
      </c>
      <c r="H222">
        <v>230</v>
      </c>
      <c r="I222">
        <v>0.42299999999999999</v>
      </c>
      <c r="J222">
        <v>4.6100000000000004E-3</v>
      </c>
      <c r="K222" t="s">
        <v>440</v>
      </c>
      <c r="L222">
        <v>15</v>
      </c>
      <c r="M222">
        <v>0.83</v>
      </c>
      <c r="N222">
        <v>89.341999999999999</v>
      </c>
      <c r="O222">
        <v>0</v>
      </c>
      <c r="P222">
        <v>0</v>
      </c>
      <c r="Q222">
        <v>16</v>
      </c>
      <c r="R222" t="s">
        <v>158</v>
      </c>
      <c r="S222" t="s">
        <v>441</v>
      </c>
      <c r="T222">
        <f>I222*-0.5+M222*0.5</f>
        <v>0.20349999999999999</v>
      </c>
      <c r="U222">
        <f>I222*0.7+M222*-0.25+D222*-0.25</f>
        <v>5.3849999999999981E-2</v>
      </c>
      <c r="V222">
        <f>J222*0.5+I222*-0.5</f>
        <v>-0.20919499999999999</v>
      </c>
      <c r="W222">
        <f>M222*0.5+G222*0.25+I222*0.25</f>
        <v>0.64524999999999999</v>
      </c>
    </row>
    <row r="223" spans="1:23" x14ac:dyDescent="0.2">
      <c r="A223">
        <v>6.7000000000000004E-2</v>
      </c>
      <c r="B223">
        <v>7</v>
      </c>
      <c r="C223">
        <v>4</v>
      </c>
      <c r="D223">
        <v>0.105</v>
      </c>
      <c r="E223">
        <v>-4.5490000000000004</v>
      </c>
      <c r="F223">
        <v>198467</v>
      </c>
      <c r="G223">
        <v>0.69799999999999995</v>
      </c>
      <c r="H223">
        <v>197</v>
      </c>
      <c r="I223">
        <v>0.437</v>
      </c>
      <c r="J223">
        <v>5.7700000000000001E-2</v>
      </c>
      <c r="K223" t="s">
        <v>538</v>
      </c>
      <c r="L223">
        <v>41</v>
      </c>
      <c r="M223">
        <v>0.84399999999999997</v>
      </c>
      <c r="N223">
        <v>126.937</v>
      </c>
      <c r="O223" s="1">
        <v>1.6900000000000001E-5</v>
      </c>
      <c r="P223">
        <v>0</v>
      </c>
      <c r="Q223">
        <v>20</v>
      </c>
      <c r="R223" t="s">
        <v>539</v>
      </c>
      <c r="S223" t="s">
        <v>540</v>
      </c>
      <c r="T223">
        <f>I223*-0.5+M223*0.5</f>
        <v>0.20349999999999999</v>
      </c>
      <c r="U223">
        <f>I223*0.7+M223*-0.25+D223*-0.25</f>
        <v>6.8650000000000017E-2</v>
      </c>
      <c r="V223">
        <f>J223*0.5+I223*-0.5</f>
        <v>-0.18964999999999999</v>
      </c>
      <c r="W223">
        <f>M223*0.5+G223*0.25+I223*0.25</f>
        <v>0.70574999999999999</v>
      </c>
    </row>
    <row r="224" spans="1:23" x14ac:dyDescent="0.2">
      <c r="A224">
        <v>6.7699999999999996E-2</v>
      </c>
      <c r="B224">
        <v>9</v>
      </c>
      <c r="C224">
        <v>4</v>
      </c>
      <c r="D224">
        <v>9.3299999999999994E-2</v>
      </c>
      <c r="E224">
        <v>-5.3639999999999999</v>
      </c>
      <c r="F224">
        <v>250387</v>
      </c>
      <c r="G224">
        <v>0.69199999999999995</v>
      </c>
      <c r="H224">
        <v>247</v>
      </c>
      <c r="I224">
        <v>0.502</v>
      </c>
      <c r="J224">
        <v>2.5100000000000001E-2</v>
      </c>
      <c r="K224" t="s">
        <v>380</v>
      </c>
      <c r="L224">
        <v>45</v>
      </c>
      <c r="M224">
        <v>0.90800000000000003</v>
      </c>
      <c r="N224">
        <v>124.042</v>
      </c>
      <c r="O224">
        <v>0</v>
      </c>
      <c r="P224">
        <v>1</v>
      </c>
      <c r="Q224">
        <v>12</v>
      </c>
      <c r="R224" t="s">
        <v>211</v>
      </c>
      <c r="S224" t="s">
        <v>381</v>
      </c>
      <c r="T224">
        <f>I224*-0.5+M224*0.5</f>
        <v>0.20300000000000001</v>
      </c>
      <c r="U224">
        <f>I224*0.7+M224*-0.25+D224*-0.25</f>
        <v>0.10107499999999998</v>
      </c>
      <c r="V224">
        <f>J224*0.5+I224*-0.5</f>
        <v>-0.23845</v>
      </c>
      <c r="W224">
        <f>M224*0.5+G224*0.25+I224*0.25</f>
        <v>0.75249999999999995</v>
      </c>
    </row>
    <row r="225" spans="1:23" x14ac:dyDescent="0.2">
      <c r="A225">
        <v>0.161</v>
      </c>
      <c r="B225">
        <v>8</v>
      </c>
      <c r="C225">
        <v>4</v>
      </c>
      <c r="D225">
        <v>0.29799999999999999</v>
      </c>
      <c r="E225">
        <v>-3.206</v>
      </c>
      <c r="F225">
        <v>252307</v>
      </c>
      <c r="G225">
        <v>0.67100000000000004</v>
      </c>
      <c r="H225">
        <v>252</v>
      </c>
      <c r="I225">
        <v>0.53300000000000003</v>
      </c>
      <c r="J225">
        <v>0.192</v>
      </c>
      <c r="K225" t="s">
        <v>781</v>
      </c>
      <c r="L225">
        <v>39</v>
      </c>
      <c r="M225">
        <v>0.93899999999999995</v>
      </c>
      <c r="N225">
        <v>129.023</v>
      </c>
      <c r="O225">
        <v>0</v>
      </c>
      <c r="P225">
        <v>1</v>
      </c>
      <c r="Q225">
        <v>3</v>
      </c>
      <c r="R225" t="s">
        <v>782</v>
      </c>
      <c r="S225" t="s">
        <v>783</v>
      </c>
      <c r="T225">
        <f>I225*-0.5+M225*0.5</f>
        <v>0.20299999999999996</v>
      </c>
      <c r="U225">
        <f>I225*0.7+M225*-0.25+D225*-0.25</f>
        <v>6.3850000000000004E-2</v>
      </c>
      <c r="V225">
        <f>J225*0.5+I225*-0.5</f>
        <v>-0.17050000000000001</v>
      </c>
      <c r="W225">
        <f>M225*0.5+G225*0.25+I225*0.25</f>
        <v>0.77049999999999996</v>
      </c>
    </row>
    <row r="226" spans="1:23" x14ac:dyDescent="0.2">
      <c r="A226">
        <v>4.1300000000000003E-2</v>
      </c>
      <c r="B226">
        <v>8</v>
      </c>
      <c r="C226">
        <v>4</v>
      </c>
      <c r="D226">
        <v>0.13600000000000001</v>
      </c>
      <c r="E226">
        <v>-5.4119999999999999</v>
      </c>
      <c r="F226">
        <v>241853</v>
      </c>
      <c r="G226">
        <v>0.33800000000000002</v>
      </c>
      <c r="H226">
        <v>240</v>
      </c>
      <c r="I226">
        <v>0.39800000000000002</v>
      </c>
      <c r="J226">
        <v>1.8700000000000001E-2</v>
      </c>
      <c r="K226" t="s">
        <v>524</v>
      </c>
      <c r="L226">
        <v>31</v>
      </c>
      <c r="M226">
        <v>0.80300000000000005</v>
      </c>
      <c r="N226">
        <v>151.994</v>
      </c>
      <c r="O226">
        <v>0</v>
      </c>
      <c r="P226">
        <v>0</v>
      </c>
      <c r="Q226">
        <v>17</v>
      </c>
      <c r="R226" t="s">
        <v>525</v>
      </c>
      <c r="S226" t="s">
        <v>526</v>
      </c>
      <c r="T226">
        <f>I226*-0.5+M226*0.5</f>
        <v>0.20250000000000001</v>
      </c>
      <c r="U226">
        <f>I226*0.7+M226*-0.25+D226*-0.25</f>
        <v>4.385E-2</v>
      </c>
      <c r="V226">
        <f>J226*0.5+I226*-0.5</f>
        <v>-0.18965000000000001</v>
      </c>
      <c r="W226">
        <f>M226*0.5+G226*0.25+I226*0.25</f>
        <v>0.58550000000000002</v>
      </c>
    </row>
    <row r="227" spans="1:23" x14ac:dyDescent="0.2">
      <c r="A227">
        <v>4.82E-2</v>
      </c>
      <c r="B227">
        <v>2</v>
      </c>
      <c r="C227">
        <v>4</v>
      </c>
      <c r="D227">
        <v>0.51300000000000001</v>
      </c>
      <c r="E227">
        <v>-5.8739999999999997</v>
      </c>
      <c r="F227">
        <v>202197</v>
      </c>
      <c r="G227">
        <v>0.64500000000000002</v>
      </c>
      <c r="H227">
        <v>201</v>
      </c>
      <c r="I227">
        <v>0.32700000000000001</v>
      </c>
      <c r="J227">
        <v>1.3599999999999999E-2</v>
      </c>
      <c r="K227" t="s">
        <v>579</v>
      </c>
      <c r="L227">
        <v>51</v>
      </c>
      <c r="M227">
        <v>0.73199999999999998</v>
      </c>
      <c r="N227">
        <v>120.06</v>
      </c>
      <c r="O227">
        <v>0</v>
      </c>
      <c r="P227">
        <v>1</v>
      </c>
      <c r="Q227">
        <v>7</v>
      </c>
      <c r="R227" t="s">
        <v>580</v>
      </c>
      <c r="S227" t="s">
        <v>581</v>
      </c>
      <c r="T227">
        <f>I227*-0.5+M227*0.5</f>
        <v>0.20249999999999999</v>
      </c>
      <c r="U227">
        <f>I227*0.7+M227*-0.25+D227*-0.25</f>
        <v>-8.2350000000000007E-2</v>
      </c>
      <c r="V227">
        <f>J227*0.5+I227*-0.5</f>
        <v>-0.15670000000000001</v>
      </c>
      <c r="W227">
        <f>M227*0.5+G227*0.25+I227*0.25</f>
        <v>0.60899999999999999</v>
      </c>
    </row>
    <row r="228" spans="1:23" x14ac:dyDescent="0.2">
      <c r="A228">
        <v>4.87E-2</v>
      </c>
      <c r="B228">
        <v>2</v>
      </c>
      <c r="C228">
        <v>4</v>
      </c>
      <c r="D228">
        <v>0.28499999999999998</v>
      </c>
      <c r="E228">
        <v>-7.548</v>
      </c>
      <c r="F228">
        <v>206167</v>
      </c>
      <c r="G228">
        <v>0.69899999999999995</v>
      </c>
      <c r="H228">
        <v>204</v>
      </c>
      <c r="I228">
        <v>0.128</v>
      </c>
      <c r="J228">
        <v>3.1699999999999999E-2</v>
      </c>
      <c r="K228" t="s">
        <v>969</v>
      </c>
      <c r="L228">
        <v>52</v>
      </c>
      <c r="M228">
        <v>0.52900000000000003</v>
      </c>
      <c r="N228">
        <v>119.98699999999999</v>
      </c>
      <c r="O228" s="1">
        <v>3.5899999999999998E-5</v>
      </c>
      <c r="P228">
        <v>1</v>
      </c>
      <c r="Q228">
        <v>14</v>
      </c>
      <c r="R228" t="s">
        <v>970</v>
      </c>
      <c r="S228" t="s">
        <v>971</v>
      </c>
      <c r="T228">
        <f>I228*-0.5+M228*0.5</f>
        <v>0.20050000000000001</v>
      </c>
      <c r="U228">
        <f>I228*0.7+M228*-0.25+D228*-0.25</f>
        <v>-0.1139</v>
      </c>
      <c r="V228">
        <f>J228*0.5+I228*-0.5</f>
        <v>-4.8149999999999998E-2</v>
      </c>
      <c r="W228">
        <f>M228*0.5+G228*0.25+I228*0.25</f>
        <v>0.47125000000000006</v>
      </c>
    </row>
    <row r="229" spans="1:23" x14ac:dyDescent="0.2">
      <c r="A229">
        <v>3.8699999999999998E-2</v>
      </c>
      <c r="B229">
        <v>1</v>
      </c>
      <c r="C229">
        <v>4</v>
      </c>
      <c r="D229">
        <v>0.107</v>
      </c>
      <c r="E229">
        <v>-4.8810000000000002</v>
      </c>
      <c r="F229">
        <v>243053</v>
      </c>
      <c r="G229">
        <v>0.47799999999999998</v>
      </c>
      <c r="H229">
        <v>232</v>
      </c>
      <c r="I229">
        <v>0.45600000000000002</v>
      </c>
      <c r="J229">
        <v>1.9199999999999998E-2</v>
      </c>
      <c r="K229" t="s">
        <v>453</v>
      </c>
      <c r="L229">
        <v>19</v>
      </c>
      <c r="M229">
        <v>0.85599999999999998</v>
      </c>
      <c r="N229">
        <v>91.998000000000005</v>
      </c>
      <c r="O229">
        <v>0</v>
      </c>
      <c r="P229">
        <v>0</v>
      </c>
      <c r="Q229">
        <v>16</v>
      </c>
      <c r="R229" t="s">
        <v>454</v>
      </c>
      <c r="S229" t="s">
        <v>455</v>
      </c>
      <c r="T229">
        <f>I229*-0.5+M229*0.5</f>
        <v>0.19999999999999998</v>
      </c>
      <c r="U229">
        <f>I229*0.7+M229*-0.25+D229*-0.25</f>
        <v>7.8449999999999992E-2</v>
      </c>
      <c r="V229">
        <f>J229*0.5+I229*-0.5</f>
        <v>-0.21840000000000001</v>
      </c>
      <c r="W229">
        <f>M229*0.5+G229*0.25+I229*0.25</f>
        <v>0.66149999999999998</v>
      </c>
    </row>
    <row r="230" spans="1:23" x14ac:dyDescent="0.2">
      <c r="A230">
        <v>0.34100000000000003</v>
      </c>
      <c r="B230">
        <v>7</v>
      </c>
      <c r="C230">
        <v>4</v>
      </c>
      <c r="D230">
        <v>7.4300000000000005E-2</v>
      </c>
      <c r="E230">
        <v>-4.9409999999999998</v>
      </c>
      <c r="F230">
        <v>240280</v>
      </c>
      <c r="G230">
        <v>0.64400000000000002</v>
      </c>
      <c r="H230">
        <v>240</v>
      </c>
      <c r="I230">
        <v>0.34699999999999998</v>
      </c>
      <c r="J230">
        <v>7.1000000000000004E-3</v>
      </c>
      <c r="K230" t="s">
        <v>561</v>
      </c>
      <c r="L230">
        <v>23</v>
      </c>
      <c r="M230">
        <v>0.746</v>
      </c>
      <c r="N230">
        <v>105.253</v>
      </c>
      <c r="O230" s="1">
        <v>1.22E-5</v>
      </c>
      <c r="P230">
        <v>1</v>
      </c>
      <c r="Q230">
        <v>6</v>
      </c>
      <c r="R230" t="s">
        <v>562</v>
      </c>
      <c r="S230" t="s">
        <v>563</v>
      </c>
      <c r="T230">
        <f>I230*-0.5+M230*0.5</f>
        <v>0.19950000000000001</v>
      </c>
      <c r="U230">
        <f>I230*0.7+M230*-0.25+D230*-0.25</f>
        <v>3.7824999999999977E-2</v>
      </c>
      <c r="V230">
        <f>J230*0.5+I230*-0.5</f>
        <v>-0.16994999999999999</v>
      </c>
      <c r="W230">
        <f>M230*0.5+G230*0.25+I230*0.25</f>
        <v>0.62075000000000002</v>
      </c>
    </row>
    <row r="231" spans="1:23" x14ac:dyDescent="0.2">
      <c r="A231">
        <v>5.0900000000000001E-2</v>
      </c>
      <c r="B231">
        <v>11</v>
      </c>
      <c r="C231">
        <v>4</v>
      </c>
      <c r="D231">
        <v>0.11600000000000001</v>
      </c>
      <c r="E231">
        <v>-3.145</v>
      </c>
      <c r="F231">
        <v>212862</v>
      </c>
      <c r="G231">
        <v>0.61199999999999999</v>
      </c>
      <c r="H231">
        <v>209</v>
      </c>
      <c r="I231">
        <v>0.441</v>
      </c>
      <c r="J231">
        <v>0.112</v>
      </c>
      <c r="K231" t="s">
        <v>710</v>
      </c>
      <c r="L231">
        <v>44</v>
      </c>
      <c r="M231">
        <v>0.84</v>
      </c>
      <c r="N231">
        <v>129.042</v>
      </c>
      <c r="O231">
        <v>0</v>
      </c>
      <c r="P231">
        <v>0</v>
      </c>
      <c r="Q231">
        <v>14</v>
      </c>
      <c r="R231" t="s">
        <v>711</v>
      </c>
      <c r="S231" t="s">
        <v>712</v>
      </c>
      <c r="T231">
        <f>I231*-0.5+M231*0.5</f>
        <v>0.19949999999999998</v>
      </c>
      <c r="U231">
        <f>I231*0.7+M231*-0.25+D231*-0.25</f>
        <v>6.9699999999999984E-2</v>
      </c>
      <c r="V231">
        <f>J231*0.5+I231*-0.5</f>
        <v>-0.16450000000000001</v>
      </c>
      <c r="W231">
        <f>M231*0.5+G231*0.25+I231*0.25</f>
        <v>0.68324999999999991</v>
      </c>
    </row>
    <row r="232" spans="1:23" x14ac:dyDescent="0.2">
      <c r="A232">
        <v>3.1199999999999999E-2</v>
      </c>
      <c r="B232">
        <v>6</v>
      </c>
      <c r="C232">
        <v>4</v>
      </c>
      <c r="D232">
        <v>0.21</v>
      </c>
      <c r="E232">
        <v>-4.8869999999999996</v>
      </c>
      <c r="F232">
        <v>251533</v>
      </c>
      <c r="G232">
        <v>0.60899999999999999</v>
      </c>
      <c r="H232">
        <v>249</v>
      </c>
      <c r="I232">
        <v>0.39300000000000002</v>
      </c>
      <c r="J232">
        <v>7.5300000000000006E-2</v>
      </c>
      <c r="K232" t="s">
        <v>679</v>
      </c>
      <c r="L232">
        <v>30</v>
      </c>
      <c r="M232">
        <v>0.79100000000000004</v>
      </c>
      <c r="N232">
        <v>90.947999999999993</v>
      </c>
      <c r="O232">
        <v>0</v>
      </c>
      <c r="P232">
        <v>1</v>
      </c>
      <c r="Q232">
        <v>10</v>
      </c>
      <c r="R232" t="s">
        <v>243</v>
      </c>
      <c r="S232" t="s">
        <v>680</v>
      </c>
      <c r="T232">
        <f>I232*-0.5+M232*0.5</f>
        <v>0.19900000000000001</v>
      </c>
      <c r="U232">
        <f>I232*0.7+M232*-0.25+D232*-0.25</f>
        <v>2.4850000000000004E-2</v>
      </c>
      <c r="V232">
        <f>J232*0.5+I232*-0.5</f>
        <v>-0.15884999999999999</v>
      </c>
      <c r="W232">
        <f>M232*0.5+G232*0.25+I232*0.25</f>
        <v>0.64599999999999991</v>
      </c>
    </row>
    <row r="233" spans="1:23" x14ac:dyDescent="0.2">
      <c r="A233">
        <v>3.0300000000000001E-2</v>
      </c>
      <c r="B233">
        <v>4</v>
      </c>
      <c r="C233">
        <v>4</v>
      </c>
      <c r="D233">
        <v>0.2</v>
      </c>
      <c r="E233">
        <v>-5.5350000000000001</v>
      </c>
      <c r="F233">
        <v>277573</v>
      </c>
      <c r="G233">
        <v>0.58699999999999997</v>
      </c>
      <c r="H233">
        <v>232</v>
      </c>
      <c r="I233">
        <v>0.22500000000000001</v>
      </c>
      <c r="J233">
        <v>9.2700000000000005E-2</v>
      </c>
      <c r="K233" t="s">
        <v>1041</v>
      </c>
      <c r="L233">
        <v>33</v>
      </c>
      <c r="M233">
        <v>0.622</v>
      </c>
      <c r="N233">
        <v>107.943</v>
      </c>
      <c r="O233">
        <v>6.3599999999999996E-4</v>
      </c>
      <c r="P233">
        <v>1</v>
      </c>
      <c r="Q233">
        <v>15</v>
      </c>
      <c r="R233" t="s">
        <v>989</v>
      </c>
      <c r="S233" t="s">
        <v>1042</v>
      </c>
      <c r="T233">
        <f>I233*-0.5+M233*0.5</f>
        <v>0.19850000000000001</v>
      </c>
      <c r="U233">
        <f>I233*0.7+M233*-0.25+D233*-0.25</f>
        <v>-4.8000000000000001E-2</v>
      </c>
      <c r="V233">
        <f>J233*0.5+I233*-0.5</f>
        <v>-6.615E-2</v>
      </c>
      <c r="W233">
        <f>M233*0.5+G233*0.25+I233*0.25</f>
        <v>0.51400000000000001</v>
      </c>
    </row>
    <row r="234" spans="1:23" x14ac:dyDescent="0.2">
      <c r="A234">
        <v>0.17699999999999999</v>
      </c>
      <c r="B234">
        <v>7</v>
      </c>
      <c r="C234">
        <v>4</v>
      </c>
      <c r="D234">
        <v>8.6400000000000005E-2</v>
      </c>
      <c r="E234">
        <v>-5.3719999999999999</v>
      </c>
      <c r="F234">
        <v>253840</v>
      </c>
      <c r="G234">
        <v>0.63</v>
      </c>
      <c r="H234">
        <v>230</v>
      </c>
      <c r="I234">
        <v>0.32900000000000001</v>
      </c>
      <c r="J234">
        <v>8.6700000000000006E-3</v>
      </c>
      <c r="K234" t="s">
        <v>597</v>
      </c>
      <c r="L234">
        <v>29</v>
      </c>
      <c r="M234">
        <v>0.72599999999999998</v>
      </c>
      <c r="N234">
        <v>133.31700000000001</v>
      </c>
      <c r="O234">
        <v>0</v>
      </c>
      <c r="P234">
        <v>1</v>
      </c>
      <c r="Q234">
        <v>12</v>
      </c>
      <c r="R234" t="s">
        <v>598</v>
      </c>
      <c r="S234" t="s">
        <v>599</v>
      </c>
      <c r="T234">
        <f>I234*-0.5+M234*0.5</f>
        <v>0.19849999999999998</v>
      </c>
      <c r="U234">
        <f>I234*0.7+M234*-0.25+D234*-0.25</f>
        <v>2.7200000000000009E-2</v>
      </c>
      <c r="V234">
        <f>J234*0.5+I234*-0.5</f>
        <v>-0.160165</v>
      </c>
      <c r="W234">
        <f>M234*0.5+G234*0.25+I234*0.25</f>
        <v>0.60275000000000001</v>
      </c>
    </row>
    <row r="235" spans="1:23" x14ac:dyDescent="0.2">
      <c r="A235">
        <v>3.4000000000000002E-2</v>
      </c>
      <c r="B235">
        <v>3</v>
      </c>
      <c r="C235">
        <v>4</v>
      </c>
      <c r="D235">
        <v>0.124</v>
      </c>
      <c r="E235">
        <v>-4.4509999999999996</v>
      </c>
      <c r="F235">
        <v>256013</v>
      </c>
      <c r="G235">
        <v>0.65600000000000003</v>
      </c>
      <c r="H235">
        <v>253</v>
      </c>
      <c r="I235">
        <v>0.39</v>
      </c>
      <c r="J235">
        <v>0.16300000000000001</v>
      </c>
      <c r="K235" t="s">
        <v>988</v>
      </c>
      <c r="L235">
        <v>31</v>
      </c>
      <c r="M235">
        <v>0.78600000000000003</v>
      </c>
      <c r="N235">
        <v>113.96299999999999</v>
      </c>
      <c r="O235" s="1">
        <v>5.9899999999999999E-5</v>
      </c>
      <c r="P235">
        <v>1</v>
      </c>
      <c r="Q235">
        <v>19</v>
      </c>
      <c r="R235" t="s">
        <v>989</v>
      </c>
      <c r="S235" t="s">
        <v>990</v>
      </c>
      <c r="T235">
        <f>I235*-0.5+M235*0.5</f>
        <v>0.19800000000000001</v>
      </c>
      <c r="U235">
        <f>I235*0.7+M235*-0.25+D235*-0.25</f>
        <v>4.5499999999999957E-2</v>
      </c>
      <c r="V235">
        <f>J235*0.5+I235*-0.5</f>
        <v>-0.1135</v>
      </c>
      <c r="W235">
        <f>M235*0.5+G235*0.25+I235*0.25</f>
        <v>0.65450000000000008</v>
      </c>
    </row>
    <row r="236" spans="1:23" x14ac:dyDescent="0.2">
      <c r="A236">
        <v>8.7800000000000003E-2</v>
      </c>
      <c r="B236">
        <v>4</v>
      </c>
      <c r="C236">
        <v>4</v>
      </c>
      <c r="D236">
        <v>0.36899999999999999</v>
      </c>
      <c r="E236">
        <v>-3.7519999999999998</v>
      </c>
      <c r="F236">
        <v>187813</v>
      </c>
      <c r="G236">
        <v>0.59799999999999998</v>
      </c>
      <c r="H236">
        <v>185</v>
      </c>
      <c r="I236">
        <v>0.51800000000000002</v>
      </c>
      <c r="J236">
        <v>1.06E-2</v>
      </c>
      <c r="K236" t="s">
        <v>365</v>
      </c>
      <c r="L236">
        <v>60</v>
      </c>
      <c r="M236">
        <v>0.91400000000000003</v>
      </c>
      <c r="N236">
        <v>103.97199999999999</v>
      </c>
      <c r="O236" s="1">
        <v>1.22E-6</v>
      </c>
      <c r="P236">
        <v>1</v>
      </c>
      <c r="Q236">
        <v>21</v>
      </c>
      <c r="R236" t="s">
        <v>366</v>
      </c>
      <c r="S236" t="s">
        <v>367</v>
      </c>
      <c r="T236">
        <f>I236*-0.5+M236*0.5</f>
        <v>0.19800000000000001</v>
      </c>
      <c r="U236">
        <f>I236*0.7+M236*-0.25+D236*-0.25</f>
        <v>4.1849999999999971E-2</v>
      </c>
      <c r="V236">
        <f>J236*0.5+I236*-0.5</f>
        <v>-0.25369999999999998</v>
      </c>
      <c r="W236">
        <f>M236*0.5+G236*0.25+I236*0.25</f>
        <v>0.73599999999999999</v>
      </c>
    </row>
    <row r="237" spans="1:23" x14ac:dyDescent="0.2">
      <c r="A237">
        <v>9.7199999999999995E-2</v>
      </c>
      <c r="B237">
        <v>7</v>
      </c>
      <c r="C237">
        <v>4</v>
      </c>
      <c r="D237">
        <v>0.28399999999999997</v>
      </c>
      <c r="E237">
        <v>-4.3150000000000004</v>
      </c>
      <c r="F237">
        <v>206120</v>
      </c>
      <c r="G237">
        <v>0.437</v>
      </c>
      <c r="H237">
        <v>200</v>
      </c>
      <c r="I237">
        <v>0.51800000000000002</v>
      </c>
      <c r="J237">
        <v>1.7100000000000001E-2</v>
      </c>
      <c r="K237" t="s">
        <v>382</v>
      </c>
      <c r="L237">
        <v>36</v>
      </c>
      <c r="M237">
        <v>0.91300000000000003</v>
      </c>
      <c r="N237">
        <v>167.86099999999999</v>
      </c>
      <c r="O237">
        <v>0</v>
      </c>
      <c r="P237">
        <v>1</v>
      </c>
      <c r="Q237">
        <v>17</v>
      </c>
      <c r="R237" t="s">
        <v>383</v>
      </c>
      <c r="S237" t="s">
        <v>384</v>
      </c>
      <c r="T237">
        <f>I237*-0.5+M237*0.5</f>
        <v>0.19750000000000001</v>
      </c>
      <c r="U237">
        <f>I237*0.7+M237*-0.25+D237*-0.25</f>
        <v>6.3349999999999976E-2</v>
      </c>
      <c r="V237">
        <f>J237*0.5+I237*-0.5</f>
        <v>-0.25045000000000001</v>
      </c>
      <c r="W237">
        <f>M237*0.5+G237*0.25+I237*0.25</f>
        <v>0.69524999999999992</v>
      </c>
    </row>
    <row r="238" spans="1:23" x14ac:dyDescent="0.2">
      <c r="A238">
        <v>7.3200000000000001E-2</v>
      </c>
      <c r="B238">
        <v>6</v>
      </c>
      <c r="C238">
        <v>4</v>
      </c>
      <c r="D238">
        <v>8.9300000000000004E-2</v>
      </c>
      <c r="E238">
        <v>-7.3760000000000003</v>
      </c>
      <c r="F238">
        <v>148573</v>
      </c>
      <c r="G238">
        <v>0.40300000000000002</v>
      </c>
      <c r="H238">
        <v>149</v>
      </c>
      <c r="I238">
        <v>0.56299999999999994</v>
      </c>
      <c r="J238">
        <v>1.7000000000000001E-2</v>
      </c>
      <c r="K238" t="s">
        <v>291</v>
      </c>
      <c r="L238">
        <v>3</v>
      </c>
      <c r="M238">
        <v>0.95599999999999996</v>
      </c>
      <c r="N238">
        <v>157.70599999999999</v>
      </c>
      <c r="O238" s="1">
        <v>7.0900000000000002E-5</v>
      </c>
      <c r="P238">
        <v>1</v>
      </c>
      <c r="Q238">
        <v>3</v>
      </c>
      <c r="R238" t="s">
        <v>292</v>
      </c>
      <c r="S238" t="s">
        <v>293</v>
      </c>
      <c r="T238">
        <f>I238*-0.5+M238*0.5</f>
        <v>0.19650000000000001</v>
      </c>
      <c r="U238">
        <f>I238*0.7+M238*-0.25+D238*-0.25</f>
        <v>0.13277499999999995</v>
      </c>
      <c r="V238">
        <f>J238*0.5+I238*-0.5</f>
        <v>-0.27299999999999996</v>
      </c>
      <c r="W238">
        <f>M238*0.5+G238*0.25+I238*0.25</f>
        <v>0.71950000000000003</v>
      </c>
    </row>
    <row r="239" spans="1:23" x14ac:dyDescent="0.2">
      <c r="A239">
        <v>4.7100000000000003E-2</v>
      </c>
      <c r="B239">
        <v>8</v>
      </c>
      <c r="C239">
        <v>4</v>
      </c>
      <c r="D239">
        <v>0.112</v>
      </c>
      <c r="E239">
        <v>-7.601</v>
      </c>
      <c r="F239">
        <v>225520</v>
      </c>
      <c r="G239">
        <v>0.57699999999999996</v>
      </c>
      <c r="H239">
        <v>219</v>
      </c>
      <c r="I239">
        <v>0.29499999999999998</v>
      </c>
      <c r="J239">
        <v>1.1299999999999999E-2</v>
      </c>
      <c r="K239" t="s">
        <v>677</v>
      </c>
      <c r="L239">
        <v>44</v>
      </c>
      <c r="M239">
        <v>0.68700000000000006</v>
      </c>
      <c r="N239">
        <v>124.956</v>
      </c>
      <c r="O239" s="1">
        <v>4.42E-6</v>
      </c>
      <c r="P239">
        <v>1</v>
      </c>
      <c r="Q239">
        <v>13</v>
      </c>
      <c r="R239" t="s">
        <v>629</v>
      </c>
      <c r="S239" t="s">
        <v>678</v>
      </c>
      <c r="T239">
        <f>I239*-0.5+M239*0.5</f>
        <v>0.19600000000000004</v>
      </c>
      <c r="U239">
        <f>I239*0.7+M239*-0.25+D239*-0.25</f>
        <v>6.7499999999999748E-3</v>
      </c>
      <c r="V239">
        <f>J239*0.5+I239*-0.5</f>
        <v>-0.14185</v>
      </c>
      <c r="W239">
        <f>M239*0.5+G239*0.25+I239*0.25</f>
        <v>0.5615</v>
      </c>
    </row>
    <row r="240" spans="1:23" x14ac:dyDescent="0.2">
      <c r="A240">
        <v>0.246</v>
      </c>
      <c r="B240">
        <v>0</v>
      </c>
      <c r="C240">
        <v>4</v>
      </c>
      <c r="D240">
        <v>0.25</v>
      </c>
      <c r="E240">
        <v>-7.609</v>
      </c>
      <c r="F240">
        <v>220606</v>
      </c>
      <c r="G240">
        <v>0.72299999999999998</v>
      </c>
      <c r="H240">
        <v>195</v>
      </c>
      <c r="I240">
        <v>0.35399999999999998</v>
      </c>
      <c r="J240">
        <v>5.0900000000000001E-2</v>
      </c>
      <c r="K240" t="s">
        <v>694</v>
      </c>
      <c r="L240">
        <v>61</v>
      </c>
      <c r="M240">
        <v>0.745</v>
      </c>
      <c r="N240">
        <v>98.951999999999998</v>
      </c>
      <c r="O240">
        <v>0</v>
      </c>
      <c r="P240">
        <v>1</v>
      </c>
      <c r="Q240">
        <v>19</v>
      </c>
      <c r="R240" t="s">
        <v>695</v>
      </c>
      <c r="S240" t="s">
        <v>696</v>
      </c>
      <c r="T240">
        <f>I240*-0.5+M240*0.5</f>
        <v>0.19550000000000001</v>
      </c>
      <c r="U240">
        <f>I240*0.7+M240*-0.25+D240*-0.25</f>
        <v>-9.5000000000003415E-4</v>
      </c>
      <c r="V240">
        <f>J240*0.5+I240*-0.5</f>
        <v>-0.15154999999999999</v>
      </c>
      <c r="W240">
        <f>M240*0.5+G240*0.25+I240*0.25</f>
        <v>0.64175000000000004</v>
      </c>
    </row>
    <row r="241" spans="1:23" x14ac:dyDescent="0.2">
      <c r="A241">
        <v>4.3200000000000002E-2</v>
      </c>
      <c r="B241">
        <v>7</v>
      </c>
      <c r="C241">
        <v>4</v>
      </c>
      <c r="D241">
        <v>0.28399999999999997</v>
      </c>
      <c r="E241">
        <v>-4.1189999999999998</v>
      </c>
      <c r="F241">
        <v>217267</v>
      </c>
      <c r="G241">
        <v>0.35099999999999998</v>
      </c>
      <c r="H241">
        <v>215</v>
      </c>
      <c r="I241">
        <v>0.50800000000000001</v>
      </c>
      <c r="J241">
        <v>1.8400000000000001E-3</v>
      </c>
      <c r="K241" t="s">
        <v>374</v>
      </c>
      <c r="L241">
        <v>1</v>
      </c>
      <c r="M241">
        <v>0.89900000000000002</v>
      </c>
      <c r="N241">
        <v>145.01499999999999</v>
      </c>
      <c r="O241">
        <v>1.16E-4</v>
      </c>
      <c r="P241">
        <v>1</v>
      </c>
      <c r="Q241">
        <v>4</v>
      </c>
      <c r="R241" t="s">
        <v>375</v>
      </c>
      <c r="S241" t="s">
        <v>376</v>
      </c>
      <c r="T241">
        <f>I241*-0.5+M241*0.5</f>
        <v>0.19550000000000001</v>
      </c>
      <c r="U241">
        <f>I241*0.7+M241*-0.25+D241*-0.25</f>
        <v>5.9849999999999973E-2</v>
      </c>
      <c r="V241">
        <f>J241*0.5+I241*-0.5</f>
        <v>-0.25308000000000003</v>
      </c>
      <c r="W241">
        <f>M241*0.5+G241*0.25+I241*0.25</f>
        <v>0.66425000000000001</v>
      </c>
    </row>
    <row r="242" spans="1:23" x14ac:dyDescent="0.2">
      <c r="A242">
        <v>3.6700000000000003E-2</v>
      </c>
      <c r="B242">
        <v>3</v>
      </c>
      <c r="C242">
        <v>4</v>
      </c>
      <c r="D242">
        <v>0.378</v>
      </c>
      <c r="E242">
        <v>-2.831</v>
      </c>
      <c r="F242">
        <v>175200</v>
      </c>
      <c r="G242">
        <v>0.499</v>
      </c>
      <c r="H242">
        <v>174</v>
      </c>
      <c r="I242">
        <v>0.33900000000000002</v>
      </c>
      <c r="J242">
        <v>0.23</v>
      </c>
      <c r="K242" t="s">
        <v>1393</v>
      </c>
      <c r="L242">
        <v>49</v>
      </c>
      <c r="M242">
        <v>0.73</v>
      </c>
      <c r="N242">
        <v>90.058000000000007</v>
      </c>
      <c r="O242">
        <v>1.8000000000000001E-4</v>
      </c>
      <c r="P242">
        <v>1</v>
      </c>
      <c r="Q242">
        <v>7</v>
      </c>
      <c r="R242" t="s">
        <v>278</v>
      </c>
      <c r="S242" t="s">
        <v>1394</v>
      </c>
      <c r="T242">
        <f>I242*-0.5+M242*0.5</f>
        <v>0.19549999999999998</v>
      </c>
      <c r="U242">
        <f>I242*0.7+M242*-0.25+D242*-0.25</f>
        <v>-3.9699999999999985E-2</v>
      </c>
      <c r="V242">
        <f>J242*0.5+I242*-0.5</f>
        <v>-5.4500000000000007E-2</v>
      </c>
      <c r="W242">
        <f>M242*0.5+G242*0.25+I242*0.25</f>
        <v>0.57450000000000001</v>
      </c>
    </row>
    <row r="243" spans="1:23" x14ac:dyDescent="0.2">
      <c r="A243">
        <v>2.7799999999999998E-2</v>
      </c>
      <c r="B243">
        <v>9</v>
      </c>
      <c r="C243">
        <v>4</v>
      </c>
      <c r="D243">
        <v>0.29799999999999999</v>
      </c>
      <c r="E243">
        <v>-5.4530000000000003</v>
      </c>
      <c r="F243">
        <v>226680</v>
      </c>
      <c r="G243">
        <v>0.42499999999999999</v>
      </c>
      <c r="H243">
        <v>226</v>
      </c>
      <c r="I243">
        <v>0.19800000000000001</v>
      </c>
      <c r="J243">
        <v>5.6500000000000002E-2</v>
      </c>
      <c r="K243" t="s">
        <v>1007</v>
      </c>
      <c r="L243">
        <v>11</v>
      </c>
      <c r="M243">
        <v>0.58699999999999997</v>
      </c>
      <c r="N243">
        <v>144.642</v>
      </c>
      <c r="O243" s="1">
        <v>5.1599999999999997E-6</v>
      </c>
      <c r="P243">
        <v>1</v>
      </c>
      <c r="Q243">
        <v>17</v>
      </c>
      <c r="R243" t="s">
        <v>116</v>
      </c>
      <c r="S243" t="s">
        <v>1008</v>
      </c>
      <c r="T243">
        <f>I243*-0.5+M243*0.5</f>
        <v>0.19449999999999998</v>
      </c>
      <c r="U243">
        <f>I243*0.7+M243*-0.25+D243*-0.25</f>
        <v>-8.2649999999999987E-2</v>
      </c>
      <c r="V243">
        <f>J243*0.5+I243*-0.5</f>
        <v>-7.0750000000000007E-2</v>
      </c>
      <c r="W243">
        <f>M243*0.5+G243*0.25+I243*0.25</f>
        <v>0.44924999999999998</v>
      </c>
    </row>
    <row r="244" spans="1:23" x14ac:dyDescent="0.2">
      <c r="A244">
        <v>7.17E-2</v>
      </c>
      <c r="B244">
        <v>7</v>
      </c>
      <c r="C244">
        <v>4</v>
      </c>
      <c r="D244">
        <v>0.184</v>
      </c>
      <c r="E244">
        <v>-3.5339999999999998</v>
      </c>
      <c r="F244">
        <v>219560</v>
      </c>
      <c r="G244">
        <v>0.64400000000000002</v>
      </c>
      <c r="H244">
        <v>205</v>
      </c>
      <c r="I244">
        <v>0.55600000000000005</v>
      </c>
      <c r="J244">
        <v>5.8700000000000002E-2</v>
      </c>
      <c r="K244" t="s">
        <v>464</v>
      </c>
      <c r="L244">
        <v>39</v>
      </c>
      <c r="M244">
        <v>0.94499999999999995</v>
      </c>
      <c r="N244">
        <v>91.016999999999996</v>
      </c>
      <c r="O244">
        <v>0</v>
      </c>
      <c r="P244">
        <v>1</v>
      </c>
      <c r="Q244">
        <v>8</v>
      </c>
      <c r="R244" t="s">
        <v>465</v>
      </c>
      <c r="S244" t="s">
        <v>466</v>
      </c>
      <c r="T244">
        <f>I244*-0.5+M244*0.5</f>
        <v>0.19449999999999995</v>
      </c>
      <c r="U244">
        <f>I244*0.7+M244*-0.25+D244*-0.25</f>
        <v>0.10695</v>
      </c>
      <c r="V244">
        <f>J244*0.5+I244*-0.5</f>
        <v>-0.24865000000000004</v>
      </c>
      <c r="W244">
        <f>M244*0.5+G244*0.25+I244*0.25</f>
        <v>0.77249999999999996</v>
      </c>
    </row>
    <row r="245" spans="1:23" x14ac:dyDescent="0.2">
      <c r="A245">
        <v>3.5799999999999998E-2</v>
      </c>
      <c r="B245">
        <v>10</v>
      </c>
      <c r="C245">
        <v>4</v>
      </c>
      <c r="D245">
        <v>0.125</v>
      </c>
      <c r="E245">
        <v>-5.0110000000000001</v>
      </c>
      <c r="F245">
        <v>244747</v>
      </c>
      <c r="G245">
        <v>0.30099999999999999</v>
      </c>
      <c r="H245">
        <v>243</v>
      </c>
      <c r="I245">
        <v>0.216</v>
      </c>
      <c r="J245">
        <v>0.23300000000000001</v>
      </c>
      <c r="K245" t="s">
        <v>1714</v>
      </c>
      <c r="L245">
        <v>17</v>
      </c>
      <c r="M245">
        <v>0.60399999999999998</v>
      </c>
      <c r="N245">
        <v>149.32599999999999</v>
      </c>
      <c r="O245">
        <v>0</v>
      </c>
      <c r="P245">
        <v>1</v>
      </c>
      <c r="Q245">
        <v>12</v>
      </c>
      <c r="R245" t="s">
        <v>1715</v>
      </c>
      <c r="S245" t="s">
        <v>1716</v>
      </c>
      <c r="T245">
        <f>I245*-0.5+M245*0.5</f>
        <v>0.19400000000000001</v>
      </c>
      <c r="U245">
        <f>I245*0.7+M245*-0.25+D245*-0.25</f>
        <v>-3.1049999999999994E-2</v>
      </c>
      <c r="V245">
        <f>J245*0.5+I245*-0.5</f>
        <v>8.5000000000000075E-3</v>
      </c>
      <c r="W245">
        <f>M245*0.5+G245*0.25+I245*0.25</f>
        <v>0.43124999999999997</v>
      </c>
    </row>
    <row r="246" spans="1:23" x14ac:dyDescent="0.2">
      <c r="A246">
        <v>3.7900000000000003E-2</v>
      </c>
      <c r="B246">
        <v>10</v>
      </c>
      <c r="C246">
        <v>4</v>
      </c>
      <c r="D246">
        <v>0.10100000000000001</v>
      </c>
      <c r="E246">
        <v>-4.08</v>
      </c>
      <c r="F246">
        <v>262533</v>
      </c>
      <c r="G246">
        <v>0.64</v>
      </c>
      <c r="H246">
        <v>239</v>
      </c>
      <c r="I246">
        <v>0.35599999999999998</v>
      </c>
      <c r="J246">
        <v>0.26900000000000002</v>
      </c>
      <c r="K246" t="s">
        <v>1558</v>
      </c>
      <c r="L246">
        <v>24</v>
      </c>
      <c r="M246">
        <v>0.74299999999999999</v>
      </c>
      <c r="N246">
        <v>122.035</v>
      </c>
      <c r="O246">
        <v>0</v>
      </c>
      <c r="P246">
        <v>1</v>
      </c>
      <c r="Q246">
        <v>17</v>
      </c>
      <c r="R246" t="s">
        <v>525</v>
      </c>
      <c r="S246" t="s">
        <v>1559</v>
      </c>
      <c r="T246">
        <f>I246*-0.5+M246*0.5</f>
        <v>0.19350000000000001</v>
      </c>
      <c r="U246">
        <f>I246*0.7+M246*-0.25+D246*-0.25</f>
        <v>3.8199999999999977E-2</v>
      </c>
      <c r="V246">
        <f>J246*0.5+I246*-0.5</f>
        <v>-4.3499999999999983E-2</v>
      </c>
      <c r="W246">
        <f>M246*0.5+G246*0.25+I246*0.25</f>
        <v>0.62049999999999994</v>
      </c>
    </row>
    <row r="247" spans="1:23" x14ac:dyDescent="0.2">
      <c r="A247">
        <v>0.17100000000000001</v>
      </c>
      <c r="B247">
        <v>5</v>
      </c>
      <c r="C247">
        <v>4</v>
      </c>
      <c r="D247">
        <v>0.123</v>
      </c>
      <c r="E247">
        <v>-2.4550000000000001</v>
      </c>
      <c r="F247">
        <v>237547</v>
      </c>
      <c r="G247">
        <v>0.65800000000000003</v>
      </c>
      <c r="H247">
        <v>235</v>
      </c>
      <c r="I247">
        <v>0.53200000000000003</v>
      </c>
      <c r="J247">
        <v>0.16600000000000001</v>
      </c>
      <c r="K247" t="s">
        <v>795</v>
      </c>
      <c r="L247">
        <v>44</v>
      </c>
      <c r="M247">
        <v>0.91900000000000004</v>
      </c>
      <c r="N247">
        <v>127.916</v>
      </c>
      <c r="O247">
        <v>0</v>
      </c>
      <c r="P247">
        <v>1</v>
      </c>
      <c r="Q247">
        <v>9</v>
      </c>
      <c r="R247" t="s">
        <v>796</v>
      </c>
      <c r="S247" t="s">
        <v>797</v>
      </c>
      <c r="T247">
        <f>I247*-0.5+M247*0.5</f>
        <v>0.19350000000000001</v>
      </c>
      <c r="U247">
        <f>I247*0.7+M247*-0.25+D247*-0.25</f>
        <v>0.1119</v>
      </c>
      <c r="V247">
        <f>J247*0.5+I247*-0.5</f>
        <v>-0.183</v>
      </c>
      <c r="W247">
        <f>M247*0.5+G247*0.25+I247*0.25</f>
        <v>0.75700000000000001</v>
      </c>
    </row>
    <row r="248" spans="1:23" x14ac:dyDescent="0.2">
      <c r="A248">
        <v>5.0500000000000003E-2</v>
      </c>
      <c r="B248">
        <v>0</v>
      </c>
      <c r="C248">
        <v>4</v>
      </c>
      <c r="D248">
        <v>0.57899999999999996</v>
      </c>
      <c r="E248">
        <v>-3.0939999999999999</v>
      </c>
      <c r="F248">
        <v>216347</v>
      </c>
      <c r="G248">
        <v>0.63800000000000001</v>
      </c>
      <c r="H248">
        <v>216</v>
      </c>
      <c r="I248">
        <v>0.496</v>
      </c>
      <c r="J248">
        <v>8.5000000000000006E-3</v>
      </c>
      <c r="K248" t="s">
        <v>432</v>
      </c>
      <c r="L248">
        <v>48</v>
      </c>
      <c r="M248">
        <v>0.88200000000000001</v>
      </c>
      <c r="N248">
        <v>122.026</v>
      </c>
      <c r="O248">
        <v>0</v>
      </c>
      <c r="P248">
        <v>1</v>
      </c>
      <c r="Q248">
        <v>19</v>
      </c>
      <c r="R248" t="s">
        <v>433</v>
      </c>
      <c r="S248" t="s">
        <v>434</v>
      </c>
      <c r="T248">
        <f>I248*-0.5+M248*0.5</f>
        <v>0.193</v>
      </c>
      <c r="U248">
        <f>I248*0.7+M248*-0.25+D248*-0.25</f>
        <v>-1.8050000000000038E-2</v>
      </c>
      <c r="V248">
        <f>J248*0.5+I248*-0.5</f>
        <v>-0.24374999999999999</v>
      </c>
      <c r="W248">
        <f>M248*0.5+G248*0.25+I248*0.25</f>
        <v>0.72450000000000003</v>
      </c>
    </row>
    <row r="249" spans="1:23" x14ac:dyDescent="0.2">
      <c r="A249">
        <v>0.129</v>
      </c>
      <c r="B249">
        <v>7</v>
      </c>
      <c r="C249">
        <v>4</v>
      </c>
      <c r="D249">
        <v>0.155</v>
      </c>
      <c r="E249">
        <v>-4.9870000000000001</v>
      </c>
      <c r="F249">
        <v>204013</v>
      </c>
      <c r="G249">
        <v>0.56399999999999995</v>
      </c>
      <c r="H249">
        <v>201</v>
      </c>
      <c r="I249">
        <v>0.32800000000000001</v>
      </c>
      <c r="J249">
        <v>5.4899999999999997E-2</v>
      </c>
      <c r="K249" t="s">
        <v>773</v>
      </c>
      <c r="L249">
        <v>56</v>
      </c>
      <c r="M249">
        <v>0.71399999999999997</v>
      </c>
      <c r="N249">
        <v>175.92400000000001</v>
      </c>
      <c r="O249">
        <v>0</v>
      </c>
      <c r="P249">
        <v>1</v>
      </c>
      <c r="Q249">
        <v>11</v>
      </c>
      <c r="R249" t="s">
        <v>774</v>
      </c>
      <c r="S249" t="s">
        <v>775</v>
      </c>
      <c r="T249">
        <f>I249*-0.5+M249*0.5</f>
        <v>0.19299999999999998</v>
      </c>
      <c r="U249">
        <f>I249*0.7+M249*-0.25+D249*-0.25</f>
        <v>1.2350000000000007E-2</v>
      </c>
      <c r="V249">
        <f>J249*0.5+I249*-0.5</f>
        <v>-0.13655</v>
      </c>
      <c r="W249">
        <f>M249*0.5+G249*0.25+I249*0.25</f>
        <v>0.57999999999999996</v>
      </c>
    </row>
    <row r="250" spans="1:23" x14ac:dyDescent="0.2">
      <c r="A250">
        <v>4.4999999999999998E-2</v>
      </c>
      <c r="B250">
        <v>5</v>
      </c>
      <c r="C250">
        <v>4</v>
      </c>
      <c r="D250">
        <v>9.4899999999999998E-2</v>
      </c>
      <c r="E250">
        <v>-5.5469999999999997</v>
      </c>
      <c r="F250">
        <v>219147</v>
      </c>
      <c r="G250">
        <v>0.63200000000000001</v>
      </c>
      <c r="H250">
        <v>215</v>
      </c>
      <c r="I250">
        <v>0.46</v>
      </c>
      <c r="J250">
        <v>1.3599999999999999E-2</v>
      </c>
      <c r="K250" t="s">
        <v>503</v>
      </c>
      <c r="L250">
        <v>37</v>
      </c>
      <c r="M250">
        <v>0.84499999999999997</v>
      </c>
      <c r="N250">
        <v>109.01300000000001</v>
      </c>
      <c r="O250">
        <v>0</v>
      </c>
      <c r="P250">
        <v>1</v>
      </c>
      <c r="Q250">
        <v>2</v>
      </c>
      <c r="R250" t="s">
        <v>504</v>
      </c>
      <c r="S250" t="s">
        <v>505</v>
      </c>
      <c r="T250">
        <f>I250*-0.5+M250*0.5</f>
        <v>0.19249999999999998</v>
      </c>
      <c r="U250">
        <f>I250*0.7+M250*-0.25+D250*-0.25</f>
        <v>8.7025000000000019E-2</v>
      </c>
      <c r="V250">
        <f>J250*0.5+I250*-0.5</f>
        <v>-0.22320000000000001</v>
      </c>
      <c r="W250">
        <f>M250*0.5+G250*0.25+I250*0.25</f>
        <v>0.69550000000000001</v>
      </c>
    </row>
    <row r="251" spans="1:23" x14ac:dyDescent="0.2">
      <c r="A251">
        <v>3.2300000000000002E-2</v>
      </c>
      <c r="B251">
        <v>7</v>
      </c>
      <c r="C251">
        <v>4</v>
      </c>
      <c r="D251">
        <v>0.54900000000000004</v>
      </c>
      <c r="E251">
        <v>-4.8099999999999996</v>
      </c>
      <c r="F251">
        <v>223546</v>
      </c>
      <c r="G251">
        <v>0.67100000000000004</v>
      </c>
      <c r="H251">
        <v>222</v>
      </c>
      <c r="I251">
        <v>0.38200000000000001</v>
      </c>
      <c r="J251">
        <v>5.6899999999999997E-3</v>
      </c>
      <c r="K251" t="s">
        <v>577</v>
      </c>
      <c r="L251">
        <v>48</v>
      </c>
      <c r="M251">
        <v>0.76600000000000001</v>
      </c>
      <c r="N251">
        <v>89.968000000000004</v>
      </c>
      <c r="O251" s="1">
        <v>6.8499999999999996E-6</v>
      </c>
      <c r="P251">
        <v>0</v>
      </c>
      <c r="Q251">
        <v>1</v>
      </c>
      <c r="R251" t="s">
        <v>206</v>
      </c>
      <c r="S251" t="s">
        <v>578</v>
      </c>
      <c r="T251">
        <f>I251*-0.5+M251*0.5</f>
        <v>0.192</v>
      </c>
      <c r="U251">
        <f>I251*0.7+M251*-0.25+D251*-0.25</f>
        <v>-6.1350000000000043E-2</v>
      </c>
      <c r="V251">
        <f>J251*0.5+I251*-0.5</f>
        <v>-0.18815500000000002</v>
      </c>
      <c r="W251">
        <f>M251*0.5+G251*0.25+I251*0.25</f>
        <v>0.6462500000000001</v>
      </c>
    </row>
    <row r="252" spans="1:23" x14ac:dyDescent="0.2">
      <c r="A252">
        <v>9.1800000000000007E-2</v>
      </c>
      <c r="B252">
        <v>8</v>
      </c>
      <c r="C252">
        <v>4</v>
      </c>
      <c r="D252">
        <v>0.33500000000000002</v>
      </c>
      <c r="E252">
        <v>-4.2300000000000004</v>
      </c>
      <c r="F252">
        <v>226227</v>
      </c>
      <c r="G252">
        <v>0.751</v>
      </c>
      <c r="H252">
        <v>225</v>
      </c>
      <c r="I252">
        <v>0.436</v>
      </c>
      <c r="J252">
        <v>3.31E-3</v>
      </c>
      <c r="K252" t="s">
        <v>521</v>
      </c>
      <c r="L252">
        <v>40</v>
      </c>
      <c r="M252">
        <v>0.82</v>
      </c>
      <c r="N252">
        <v>124.965</v>
      </c>
      <c r="O252">
        <v>4.2999999999999999E-4</v>
      </c>
      <c r="P252">
        <v>1</v>
      </c>
      <c r="Q252">
        <v>6</v>
      </c>
      <c r="R252" t="s">
        <v>522</v>
      </c>
      <c r="S252" t="s">
        <v>523</v>
      </c>
      <c r="T252">
        <f>I252*-0.5+M252*0.5</f>
        <v>0.19199999999999998</v>
      </c>
      <c r="U252">
        <f>I252*0.7+M252*-0.25+D252*-0.25</f>
        <v>1.6449999999999979E-2</v>
      </c>
      <c r="V252">
        <f>J252*0.5+I252*-0.5</f>
        <v>-0.21634500000000001</v>
      </c>
      <c r="W252">
        <f>M252*0.5+G252*0.25+I252*0.25</f>
        <v>0.70674999999999999</v>
      </c>
    </row>
    <row r="253" spans="1:23" x14ac:dyDescent="0.2">
      <c r="A253">
        <v>2.92E-2</v>
      </c>
      <c r="B253">
        <v>1</v>
      </c>
      <c r="C253">
        <v>4</v>
      </c>
      <c r="D253">
        <v>0.111</v>
      </c>
      <c r="E253">
        <v>-5.4189999999999996</v>
      </c>
      <c r="F253">
        <v>253813</v>
      </c>
      <c r="G253">
        <v>0.64900000000000002</v>
      </c>
      <c r="H253">
        <v>253</v>
      </c>
      <c r="I253">
        <v>0.16900000000000001</v>
      </c>
      <c r="J253">
        <v>0.03</v>
      </c>
      <c r="K253" t="s">
        <v>994</v>
      </c>
      <c r="L253">
        <v>27</v>
      </c>
      <c r="M253">
        <v>0.55200000000000005</v>
      </c>
      <c r="N253">
        <v>89.968999999999994</v>
      </c>
      <c r="O253" s="1">
        <v>6.4699999999999999E-6</v>
      </c>
      <c r="P253">
        <v>0</v>
      </c>
      <c r="Q253">
        <v>12</v>
      </c>
      <c r="R253" t="s">
        <v>995</v>
      </c>
      <c r="S253" t="s">
        <v>996</v>
      </c>
      <c r="T253">
        <f>I253*-0.5+M253*0.5</f>
        <v>0.1915</v>
      </c>
      <c r="U253">
        <f>I253*0.7+M253*-0.25+D253*-0.25</f>
        <v>-4.7450000000000006E-2</v>
      </c>
      <c r="V253">
        <f>J253*0.5+I253*-0.5</f>
        <v>-6.9500000000000006E-2</v>
      </c>
      <c r="W253">
        <f>M253*0.5+G253*0.25+I253*0.25</f>
        <v>0.48050000000000004</v>
      </c>
    </row>
    <row r="254" spans="1:23" x14ac:dyDescent="0.2">
      <c r="A254">
        <v>2.81E-2</v>
      </c>
      <c r="B254">
        <v>11</v>
      </c>
      <c r="C254">
        <v>4</v>
      </c>
      <c r="D254">
        <v>0.23400000000000001</v>
      </c>
      <c r="E254">
        <v>-7.2270000000000003</v>
      </c>
      <c r="F254">
        <v>266773</v>
      </c>
      <c r="G254">
        <v>0.42899999999999999</v>
      </c>
      <c r="H254">
        <v>268</v>
      </c>
      <c r="I254">
        <v>0.27900000000000003</v>
      </c>
      <c r="J254">
        <v>2.3900000000000002E-3</v>
      </c>
      <c r="K254" t="s">
        <v>708</v>
      </c>
      <c r="L254">
        <v>6</v>
      </c>
      <c r="M254">
        <v>0.66100000000000003</v>
      </c>
      <c r="N254">
        <v>173.36500000000001</v>
      </c>
      <c r="O254">
        <v>1.2999999999999999E-4</v>
      </c>
      <c r="P254">
        <v>1</v>
      </c>
      <c r="Q254">
        <v>13</v>
      </c>
      <c r="R254" t="s">
        <v>116</v>
      </c>
      <c r="S254" t="s">
        <v>709</v>
      </c>
      <c r="T254">
        <f>I254*-0.5+M254*0.5</f>
        <v>0.191</v>
      </c>
      <c r="U254">
        <f>I254*0.7+M254*-0.25+D254*-0.25</f>
        <v>-2.845000000000001E-2</v>
      </c>
      <c r="V254">
        <f>J254*0.5+I254*-0.5</f>
        <v>-0.13830500000000001</v>
      </c>
      <c r="W254">
        <f>M254*0.5+G254*0.25+I254*0.25</f>
        <v>0.50750000000000006</v>
      </c>
    </row>
    <row r="255" spans="1:23" x14ac:dyDescent="0.2">
      <c r="A255">
        <v>2.6800000000000001E-2</v>
      </c>
      <c r="B255">
        <v>5</v>
      </c>
      <c r="C255">
        <v>4</v>
      </c>
      <c r="D255">
        <v>8.3299999999999999E-2</v>
      </c>
      <c r="E255">
        <v>-6.7619999999999996</v>
      </c>
      <c r="F255">
        <v>278719</v>
      </c>
      <c r="G255">
        <v>0.44900000000000001</v>
      </c>
      <c r="H255">
        <v>276</v>
      </c>
      <c r="I255">
        <v>0.20399999999999999</v>
      </c>
      <c r="J255">
        <v>5.2200000000000003E-2</v>
      </c>
      <c r="K255" t="s">
        <v>1026</v>
      </c>
      <c r="L255">
        <v>41</v>
      </c>
      <c r="M255">
        <v>0.58499999999999996</v>
      </c>
      <c r="N255">
        <v>139.62700000000001</v>
      </c>
      <c r="O255" s="1">
        <v>8.4900000000000004E-5</v>
      </c>
      <c r="P255">
        <v>1</v>
      </c>
      <c r="Q255">
        <v>12</v>
      </c>
      <c r="R255" t="s">
        <v>116</v>
      </c>
      <c r="S255" t="s">
        <v>1027</v>
      </c>
      <c r="T255">
        <f>I255*-0.5+M255*0.5</f>
        <v>0.1905</v>
      </c>
      <c r="U255">
        <f>I255*0.7+M255*-0.25+D255*-0.25</f>
        <v>-2.4275000000000008E-2</v>
      </c>
      <c r="V255">
        <f>J255*0.5+I255*-0.5</f>
        <v>-7.5899999999999995E-2</v>
      </c>
      <c r="W255">
        <f>M255*0.5+G255*0.25+I255*0.25</f>
        <v>0.45574999999999999</v>
      </c>
    </row>
    <row r="256" spans="1:23" x14ac:dyDescent="0.2">
      <c r="A256">
        <v>2.9700000000000001E-2</v>
      </c>
      <c r="B256">
        <v>0</v>
      </c>
      <c r="C256">
        <v>4</v>
      </c>
      <c r="D256">
        <v>0.192</v>
      </c>
      <c r="E256">
        <v>-4.2069999999999999</v>
      </c>
      <c r="F256">
        <v>207240</v>
      </c>
      <c r="G256">
        <v>0.439</v>
      </c>
      <c r="H256">
        <v>204</v>
      </c>
      <c r="I256">
        <v>0.503</v>
      </c>
      <c r="J256">
        <v>6.7799999999999996E-3</v>
      </c>
      <c r="K256" t="s">
        <v>442</v>
      </c>
      <c r="L256">
        <v>28</v>
      </c>
      <c r="M256">
        <v>0.88400000000000001</v>
      </c>
      <c r="N256">
        <v>150.04900000000001</v>
      </c>
      <c r="O256">
        <v>0</v>
      </c>
      <c r="P256">
        <v>1</v>
      </c>
      <c r="Q256">
        <v>16</v>
      </c>
      <c r="R256" t="s">
        <v>128</v>
      </c>
      <c r="S256" t="s">
        <v>443</v>
      </c>
      <c r="T256">
        <f>I256*-0.5+M256*0.5</f>
        <v>0.1905</v>
      </c>
      <c r="U256">
        <f>I256*0.7+M256*-0.25+D256*-0.25</f>
        <v>8.3099999999999966E-2</v>
      </c>
      <c r="V256">
        <f>J256*0.5+I256*-0.5</f>
        <v>-0.24811</v>
      </c>
      <c r="W256">
        <f>M256*0.5+G256*0.25+I256*0.25</f>
        <v>0.67749999999999999</v>
      </c>
    </row>
    <row r="257" spans="1:23" x14ac:dyDescent="0.2">
      <c r="A257">
        <v>4.6300000000000001E-2</v>
      </c>
      <c r="B257">
        <v>2</v>
      </c>
      <c r="C257">
        <v>4</v>
      </c>
      <c r="D257">
        <v>8.1600000000000006E-2</v>
      </c>
      <c r="E257">
        <v>-6.8849999999999998</v>
      </c>
      <c r="F257">
        <v>257848</v>
      </c>
      <c r="G257">
        <v>0.57399999999999995</v>
      </c>
      <c r="H257">
        <v>253</v>
      </c>
      <c r="I257">
        <v>0.443</v>
      </c>
      <c r="J257">
        <v>0.35899999999999999</v>
      </c>
      <c r="K257" t="s">
        <v>1763</v>
      </c>
      <c r="L257">
        <v>42</v>
      </c>
      <c r="M257">
        <v>0.82399999999999995</v>
      </c>
      <c r="N257">
        <v>149.98099999999999</v>
      </c>
      <c r="O257">
        <v>0</v>
      </c>
      <c r="P257">
        <v>1</v>
      </c>
      <c r="Q257">
        <v>12</v>
      </c>
      <c r="R257" t="s">
        <v>504</v>
      </c>
      <c r="S257" t="s">
        <v>1764</v>
      </c>
      <c r="T257">
        <f>I257*-0.5+M257*0.5</f>
        <v>0.19049999999999997</v>
      </c>
      <c r="U257">
        <f>I257*0.7+M257*-0.25+D257*-0.25</f>
        <v>8.3699999999999997E-2</v>
      </c>
      <c r="V257">
        <f>J257*0.5+I257*-0.5</f>
        <v>-4.200000000000001E-2</v>
      </c>
      <c r="W257">
        <f>M257*0.5+G257*0.25+I257*0.25</f>
        <v>0.66625000000000001</v>
      </c>
    </row>
    <row r="258" spans="1:23" x14ac:dyDescent="0.2">
      <c r="A258">
        <v>0.16500000000000001</v>
      </c>
      <c r="B258">
        <v>1</v>
      </c>
      <c r="C258">
        <v>4</v>
      </c>
      <c r="D258">
        <v>0.25700000000000001</v>
      </c>
      <c r="E258">
        <v>-4.1529999999999996</v>
      </c>
      <c r="F258">
        <v>262173</v>
      </c>
      <c r="G258">
        <v>0.73899999999999999</v>
      </c>
      <c r="H258">
        <v>231</v>
      </c>
      <c r="I258">
        <v>0.34499999999999997</v>
      </c>
      <c r="J258">
        <v>2.35E-2</v>
      </c>
      <c r="K258" t="s">
        <v>681</v>
      </c>
      <c r="L258">
        <v>39</v>
      </c>
      <c r="M258">
        <v>0.72499999999999998</v>
      </c>
      <c r="N258">
        <v>130.024</v>
      </c>
      <c r="O258">
        <v>0</v>
      </c>
      <c r="P258">
        <v>1</v>
      </c>
      <c r="Q258">
        <v>2</v>
      </c>
      <c r="R258" t="s">
        <v>682</v>
      </c>
      <c r="S258" t="s">
        <v>683</v>
      </c>
      <c r="T258">
        <f>I258*-0.5+M258*0.5</f>
        <v>0.19</v>
      </c>
      <c r="U258">
        <f>I258*0.7+M258*-0.25+D258*-0.25</f>
        <v>-4.0000000000000313E-3</v>
      </c>
      <c r="V258">
        <f>J258*0.5+I258*-0.5</f>
        <v>-0.16074999999999998</v>
      </c>
      <c r="W258">
        <f>M258*0.5+G258*0.25+I258*0.25</f>
        <v>0.63349999999999995</v>
      </c>
    </row>
    <row r="259" spans="1:23" x14ac:dyDescent="0.2">
      <c r="A259">
        <v>0.26</v>
      </c>
      <c r="B259">
        <v>9</v>
      </c>
      <c r="C259">
        <v>4</v>
      </c>
      <c r="D259">
        <v>8.6800000000000002E-2</v>
      </c>
      <c r="E259">
        <v>-4.6319999999999997</v>
      </c>
      <c r="F259">
        <v>219000</v>
      </c>
      <c r="G259">
        <v>0.50600000000000001</v>
      </c>
      <c r="H259">
        <v>217</v>
      </c>
      <c r="I259">
        <v>0.51700000000000002</v>
      </c>
      <c r="J259">
        <v>0.14599999999999999</v>
      </c>
      <c r="K259" t="s">
        <v>791</v>
      </c>
      <c r="L259">
        <v>58</v>
      </c>
      <c r="M259">
        <v>0.89700000000000002</v>
      </c>
      <c r="N259">
        <v>188.03</v>
      </c>
      <c r="O259">
        <v>4.5100000000000001E-4</v>
      </c>
      <c r="P259">
        <v>1</v>
      </c>
      <c r="Q259">
        <v>16</v>
      </c>
      <c r="R259" t="s">
        <v>774</v>
      </c>
      <c r="S259" t="s">
        <v>792</v>
      </c>
      <c r="T259">
        <f>I259*-0.5+M259*0.5</f>
        <v>0.19</v>
      </c>
      <c r="U259">
        <f>I259*0.7+M259*-0.25+D259*-0.25</f>
        <v>0.11595</v>
      </c>
      <c r="V259">
        <f>J259*0.5+I259*-0.5</f>
        <v>-0.1855</v>
      </c>
      <c r="W259">
        <f>M259*0.5+G259*0.25+I259*0.25</f>
        <v>0.70424999999999993</v>
      </c>
    </row>
    <row r="260" spans="1:23" x14ac:dyDescent="0.2">
      <c r="A260">
        <v>5.1999999999999998E-2</v>
      </c>
      <c r="B260">
        <v>7</v>
      </c>
      <c r="C260">
        <v>4</v>
      </c>
      <c r="D260">
        <v>9.5399999999999999E-2</v>
      </c>
      <c r="E260">
        <v>-2.0459999999999998</v>
      </c>
      <c r="F260">
        <v>252307</v>
      </c>
      <c r="G260">
        <v>0.63600000000000001</v>
      </c>
      <c r="H260">
        <v>251</v>
      </c>
      <c r="I260">
        <v>0.53800000000000003</v>
      </c>
      <c r="J260">
        <v>4.0299999999999997E-3</v>
      </c>
      <c r="K260" t="s">
        <v>377</v>
      </c>
      <c r="L260">
        <v>43</v>
      </c>
      <c r="M260">
        <v>0.91800000000000004</v>
      </c>
      <c r="N260">
        <v>128.018</v>
      </c>
      <c r="O260" s="1">
        <v>1.9899999999999999E-5</v>
      </c>
      <c r="P260">
        <v>0</v>
      </c>
      <c r="Q260">
        <v>20</v>
      </c>
      <c r="R260" t="s">
        <v>378</v>
      </c>
      <c r="S260" t="s">
        <v>379</v>
      </c>
      <c r="T260">
        <f>I260*-0.5+M260*0.5</f>
        <v>0.19</v>
      </c>
      <c r="U260">
        <f>I260*0.7+M260*-0.25+D260*-0.25</f>
        <v>0.12324999999999998</v>
      </c>
      <c r="V260">
        <f>J260*0.5+I260*-0.5</f>
        <v>-0.26698500000000003</v>
      </c>
      <c r="W260">
        <f>M260*0.5+G260*0.25+I260*0.25</f>
        <v>0.75249999999999995</v>
      </c>
    </row>
    <row r="261" spans="1:23" x14ac:dyDescent="0.2">
      <c r="A261">
        <v>0.23799999999999999</v>
      </c>
      <c r="B261">
        <v>1</v>
      </c>
      <c r="C261">
        <v>4</v>
      </c>
      <c r="D261">
        <v>6.1199999999999997E-2</v>
      </c>
      <c r="E261">
        <v>-3.3780000000000001</v>
      </c>
      <c r="F261">
        <v>240000</v>
      </c>
      <c r="G261">
        <v>0.60199999999999998</v>
      </c>
      <c r="H261">
        <v>241</v>
      </c>
      <c r="I261">
        <v>0.55900000000000005</v>
      </c>
      <c r="J261">
        <v>1.6400000000000001E-2</v>
      </c>
      <c r="K261" t="s">
        <v>399</v>
      </c>
      <c r="L261">
        <v>17</v>
      </c>
      <c r="M261">
        <v>0.93799999999999994</v>
      </c>
      <c r="N261">
        <v>168.417</v>
      </c>
      <c r="O261">
        <v>0</v>
      </c>
      <c r="P261">
        <v>0</v>
      </c>
      <c r="Q261">
        <v>9</v>
      </c>
      <c r="R261" t="s">
        <v>400</v>
      </c>
      <c r="S261" t="s">
        <v>401</v>
      </c>
      <c r="T261">
        <f>I261*-0.5+M261*0.5</f>
        <v>0.18949999999999995</v>
      </c>
      <c r="U261">
        <f>I261*0.7+M261*-0.25+D261*-0.25</f>
        <v>0.14150000000000004</v>
      </c>
      <c r="V261">
        <f>J261*0.5+I261*-0.5</f>
        <v>-0.27130000000000004</v>
      </c>
      <c r="W261">
        <f>M261*0.5+G261*0.25+I261*0.25</f>
        <v>0.75924999999999998</v>
      </c>
    </row>
    <row r="262" spans="1:23" x14ac:dyDescent="0.2">
      <c r="A262">
        <v>3.1099999999999999E-2</v>
      </c>
      <c r="B262">
        <v>2</v>
      </c>
      <c r="C262">
        <v>4</v>
      </c>
      <c r="D262">
        <v>0.21299999999999999</v>
      </c>
      <c r="E262">
        <v>-5.2370000000000001</v>
      </c>
      <c r="F262">
        <v>237248</v>
      </c>
      <c r="G262">
        <v>0.57199999999999995</v>
      </c>
      <c r="H262">
        <v>220</v>
      </c>
      <c r="I262">
        <v>0.121</v>
      </c>
      <c r="J262">
        <v>2.8299999999999999E-2</v>
      </c>
      <c r="K262" t="s">
        <v>1119</v>
      </c>
      <c r="L262">
        <v>52</v>
      </c>
      <c r="M262">
        <v>0.499</v>
      </c>
      <c r="N262">
        <v>101.593</v>
      </c>
      <c r="O262">
        <v>0</v>
      </c>
      <c r="P262">
        <v>1</v>
      </c>
      <c r="Q262">
        <v>15</v>
      </c>
      <c r="R262" t="s">
        <v>149</v>
      </c>
      <c r="S262" t="s">
        <v>1120</v>
      </c>
      <c r="T262">
        <f>I262*-0.5+M262*0.5</f>
        <v>0.189</v>
      </c>
      <c r="U262">
        <f>I262*0.7+M262*-0.25+D262*-0.25</f>
        <v>-9.3299999999999994E-2</v>
      </c>
      <c r="V262">
        <f>J262*0.5+I262*-0.5</f>
        <v>-4.6350000000000002E-2</v>
      </c>
      <c r="W262">
        <f>M262*0.5+G262*0.25+I262*0.25</f>
        <v>0.42274999999999996</v>
      </c>
    </row>
    <row r="263" spans="1:23" x14ac:dyDescent="0.2">
      <c r="A263">
        <v>4.0099999999999997E-2</v>
      </c>
      <c r="B263">
        <v>9</v>
      </c>
      <c r="C263">
        <v>4</v>
      </c>
      <c r="D263">
        <v>0.109</v>
      </c>
      <c r="E263">
        <v>-6.4329999999999998</v>
      </c>
      <c r="F263">
        <v>320587</v>
      </c>
      <c r="G263">
        <v>0.58299999999999996</v>
      </c>
      <c r="H263">
        <v>259</v>
      </c>
      <c r="I263">
        <v>0.39300000000000002</v>
      </c>
      <c r="J263">
        <v>3.9100000000000002E-4</v>
      </c>
      <c r="K263" t="s">
        <v>575</v>
      </c>
      <c r="L263">
        <v>39</v>
      </c>
      <c r="M263">
        <v>0.77</v>
      </c>
      <c r="N263">
        <v>127.973</v>
      </c>
      <c r="O263">
        <v>9.9299999999999996E-3</v>
      </c>
      <c r="P263">
        <v>1</v>
      </c>
      <c r="Q263">
        <v>4</v>
      </c>
      <c r="R263" t="s">
        <v>270</v>
      </c>
      <c r="S263" t="s">
        <v>576</v>
      </c>
      <c r="T263">
        <f>I263*-0.5+M263*0.5</f>
        <v>0.1885</v>
      </c>
      <c r="U263">
        <f>I263*0.7+M263*-0.25+D263*-0.25</f>
        <v>5.535000000000001E-2</v>
      </c>
      <c r="V263">
        <f>J263*0.5+I263*-0.5</f>
        <v>-0.19630450000000002</v>
      </c>
      <c r="W263">
        <f>M263*0.5+G263*0.25+I263*0.25</f>
        <v>0.629</v>
      </c>
    </row>
    <row r="264" spans="1:23" x14ac:dyDescent="0.2">
      <c r="A264">
        <v>4.6699999999999998E-2</v>
      </c>
      <c r="B264">
        <v>2</v>
      </c>
      <c r="C264">
        <v>4</v>
      </c>
      <c r="D264">
        <v>0.42</v>
      </c>
      <c r="E264">
        <v>-3.948</v>
      </c>
      <c r="F264">
        <v>199813</v>
      </c>
      <c r="G264">
        <v>0.39600000000000002</v>
      </c>
      <c r="H264">
        <v>199</v>
      </c>
      <c r="I264">
        <v>0.52900000000000003</v>
      </c>
      <c r="J264">
        <v>4.15E-3</v>
      </c>
      <c r="K264" t="s">
        <v>416</v>
      </c>
      <c r="L264">
        <v>16</v>
      </c>
      <c r="M264">
        <v>0.90500000000000003</v>
      </c>
      <c r="N264">
        <v>151.50299999999999</v>
      </c>
      <c r="O264">
        <v>0</v>
      </c>
      <c r="P264">
        <v>1</v>
      </c>
      <c r="Q264">
        <v>18</v>
      </c>
      <c r="R264" t="s">
        <v>111</v>
      </c>
      <c r="S264" t="s">
        <v>417</v>
      </c>
      <c r="T264">
        <f>I264*-0.5+M264*0.5</f>
        <v>0.188</v>
      </c>
      <c r="U264">
        <f>I264*0.7+M264*-0.25+D264*-0.25</f>
        <v>3.9050000000000015E-2</v>
      </c>
      <c r="V264">
        <f>J264*0.5+I264*-0.5</f>
        <v>-0.26242500000000002</v>
      </c>
      <c r="W264">
        <f>M264*0.5+G264*0.25+I264*0.25</f>
        <v>0.68374999999999997</v>
      </c>
    </row>
    <row r="265" spans="1:23" x14ac:dyDescent="0.2">
      <c r="A265">
        <v>9.01E-2</v>
      </c>
      <c r="B265">
        <v>4</v>
      </c>
      <c r="C265">
        <v>4</v>
      </c>
      <c r="D265">
        <v>0.504</v>
      </c>
      <c r="E265">
        <v>-5.8929999999999998</v>
      </c>
      <c r="F265">
        <v>172646</v>
      </c>
      <c r="G265">
        <v>0.41699999999999998</v>
      </c>
      <c r="H265">
        <v>173</v>
      </c>
      <c r="I265">
        <v>0.57999999999999996</v>
      </c>
      <c r="J265">
        <v>0.10199999999999999</v>
      </c>
      <c r="K265" t="s">
        <v>585</v>
      </c>
      <c r="L265">
        <v>15</v>
      </c>
      <c r="M265">
        <v>0.95599999999999996</v>
      </c>
      <c r="N265">
        <v>173.108</v>
      </c>
      <c r="O265">
        <v>0</v>
      </c>
      <c r="P265">
        <v>1</v>
      </c>
      <c r="Q265">
        <v>17</v>
      </c>
      <c r="R265" t="s">
        <v>292</v>
      </c>
      <c r="S265" t="s">
        <v>586</v>
      </c>
      <c r="T265">
        <f>I265*-0.5+M265*0.5</f>
        <v>0.188</v>
      </c>
      <c r="U265">
        <f>I265*0.7+M265*-0.25+D265*-0.25</f>
        <v>4.0999999999999981E-2</v>
      </c>
      <c r="V265">
        <f>J265*0.5+I265*-0.5</f>
        <v>-0.23899999999999999</v>
      </c>
      <c r="W265">
        <f>M265*0.5+G265*0.25+I265*0.25</f>
        <v>0.72724999999999995</v>
      </c>
    </row>
    <row r="266" spans="1:23" x14ac:dyDescent="0.2">
      <c r="A266">
        <v>2.5000000000000001E-2</v>
      </c>
      <c r="B266">
        <v>7</v>
      </c>
      <c r="C266">
        <v>4</v>
      </c>
      <c r="D266">
        <v>0.128</v>
      </c>
      <c r="E266">
        <v>-5.4729999999999999</v>
      </c>
      <c r="F266">
        <v>265907</v>
      </c>
      <c r="G266">
        <v>0.49399999999999999</v>
      </c>
      <c r="H266">
        <v>235</v>
      </c>
      <c r="I266">
        <v>0.32100000000000001</v>
      </c>
      <c r="J266">
        <v>6.0699999999999999E-3</v>
      </c>
      <c r="K266" t="s">
        <v>684</v>
      </c>
      <c r="L266">
        <v>8</v>
      </c>
      <c r="M266">
        <v>0.69699999999999995</v>
      </c>
      <c r="N266">
        <v>95.950999999999993</v>
      </c>
      <c r="O266" s="1">
        <v>7.79E-6</v>
      </c>
      <c r="P266">
        <v>1</v>
      </c>
      <c r="Q266">
        <v>19</v>
      </c>
      <c r="R266" t="s">
        <v>454</v>
      </c>
      <c r="S266" t="s">
        <v>685</v>
      </c>
      <c r="T266">
        <f>I266*-0.5+M266*0.5</f>
        <v>0.18799999999999997</v>
      </c>
      <c r="U266">
        <f>I266*0.7+M266*-0.25+D266*-0.25</f>
        <v>1.8449999999999994E-2</v>
      </c>
      <c r="V266">
        <f>J266*0.5+I266*-0.5</f>
        <v>-0.15746499999999999</v>
      </c>
      <c r="W266">
        <f>M266*0.5+G266*0.25+I266*0.25</f>
        <v>0.55225000000000002</v>
      </c>
    </row>
    <row r="267" spans="1:23" x14ac:dyDescent="0.2">
      <c r="A267">
        <v>3.95E-2</v>
      </c>
      <c r="B267">
        <v>2</v>
      </c>
      <c r="C267">
        <v>4</v>
      </c>
      <c r="D267">
        <v>0.316</v>
      </c>
      <c r="E267">
        <v>-5.2789999999999999</v>
      </c>
      <c r="F267">
        <v>236680</v>
      </c>
      <c r="G267">
        <v>0.50800000000000001</v>
      </c>
      <c r="H267">
        <v>237</v>
      </c>
      <c r="I267">
        <v>0.44600000000000001</v>
      </c>
      <c r="J267">
        <v>0.223</v>
      </c>
      <c r="K267" t="s">
        <v>1234</v>
      </c>
      <c r="L267">
        <v>29</v>
      </c>
      <c r="M267">
        <v>0.82099999999999995</v>
      </c>
      <c r="N267">
        <v>75.057000000000002</v>
      </c>
      <c r="O267">
        <v>0</v>
      </c>
      <c r="P267">
        <v>1</v>
      </c>
      <c r="Q267">
        <v>15</v>
      </c>
      <c r="R267" t="s">
        <v>79</v>
      </c>
      <c r="S267" t="s">
        <v>1235</v>
      </c>
      <c r="T267">
        <f>I267*-0.5+M267*0.5</f>
        <v>0.18749999999999997</v>
      </c>
      <c r="U267">
        <f>I267*0.7+M267*-0.25+D267*-0.25</f>
        <v>2.7949999999999989E-2</v>
      </c>
      <c r="V267">
        <f>J267*0.5+I267*-0.5</f>
        <v>-0.1115</v>
      </c>
      <c r="W267">
        <f>M267*0.5+G267*0.25+I267*0.25</f>
        <v>0.64900000000000002</v>
      </c>
    </row>
    <row r="268" spans="1:23" x14ac:dyDescent="0.2">
      <c r="A268">
        <v>3.5200000000000002E-2</v>
      </c>
      <c r="B268">
        <v>2</v>
      </c>
      <c r="C268">
        <v>4</v>
      </c>
      <c r="D268">
        <v>0.121</v>
      </c>
      <c r="E268">
        <v>-6.1989999999999998</v>
      </c>
      <c r="F268">
        <v>224693</v>
      </c>
      <c r="G268">
        <v>0.51500000000000001</v>
      </c>
      <c r="H268">
        <v>222</v>
      </c>
      <c r="I268">
        <v>0.39300000000000002</v>
      </c>
      <c r="J268">
        <v>9.8000000000000004E-2</v>
      </c>
      <c r="K268" t="s">
        <v>875</v>
      </c>
      <c r="L268">
        <v>36</v>
      </c>
      <c r="M268">
        <v>0.76700000000000002</v>
      </c>
      <c r="N268">
        <v>148.024</v>
      </c>
      <c r="O268">
        <v>0</v>
      </c>
      <c r="P268">
        <v>1</v>
      </c>
      <c r="Q268">
        <v>12</v>
      </c>
      <c r="R268" t="s">
        <v>146</v>
      </c>
      <c r="S268" t="s">
        <v>876</v>
      </c>
      <c r="T268">
        <f>I268*-0.5+M268*0.5</f>
        <v>0.187</v>
      </c>
      <c r="U268">
        <f>I268*0.7+M268*-0.25+D268*-0.25</f>
        <v>5.3100000000000008E-2</v>
      </c>
      <c r="V268">
        <f>J268*0.5+I268*-0.5</f>
        <v>-0.14750000000000002</v>
      </c>
      <c r="W268">
        <f>M268*0.5+G268*0.25+I268*0.25</f>
        <v>0.61050000000000004</v>
      </c>
    </row>
    <row r="269" spans="1:23" x14ac:dyDescent="0.2">
      <c r="A269">
        <v>4.7699999999999999E-2</v>
      </c>
      <c r="B269">
        <v>3</v>
      </c>
      <c r="C269">
        <v>4</v>
      </c>
      <c r="D269">
        <v>0.11899999999999999</v>
      </c>
      <c r="E269">
        <v>-5.8019999999999996</v>
      </c>
      <c r="F269">
        <v>245493</v>
      </c>
      <c r="G269">
        <v>0.6</v>
      </c>
      <c r="H269">
        <v>244</v>
      </c>
      <c r="I269">
        <v>0.29099999999999998</v>
      </c>
      <c r="J269">
        <v>0.22500000000000001</v>
      </c>
      <c r="K269" t="s">
        <v>1612</v>
      </c>
      <c r="L269">
        <v>49</v>
      </c>
      <c r="M269">
        <v>0.66300000000000003</v>
      </c>
      <c r="N269">
        <v>121.07</v>
      </c>
      <c r="O269">
        <v>0</v>
      </c>
      <c r="P269">
        <v>1</v>
      </c>
      <c r="Q269">
        <v>5</v>
      </c>
      <c r="R269" t="s">
        <v>1111</v>
      </c>
      <c r="S269" t="s">
        <v>1613</v>
      </c>
      <c r="T269">
        <f>I269*-0.5+M269*0.5</f>
        <v>0.18600000000000003</v>
      </c>
      <c r="U269">
        <f>I269*0.7+M269*-0.25+D269*-0.25</f>
        <v>8.1999999999999573E-3</v>
      </c>
      <c r="V269">
        <f>J269*0.5+I269*-0.5</f>
        <v>-3.2999999999999988E-2</v>
      </c>
      <c r="W269">
        <f>M269*0.5+G269*0.25+I269*0.25</f>
        <v>0.55425000000000002</v>
      </c>
    </row>
    <row r="270" spans="1:23" x14ac:dyDescent="0.2">
      <c r="A270">
        <v>4.7600000000000003E-2</v>
      </c>
      <c r="B270">
        <v>0</v>
      </c>
      <c r="C270">
        <v>4</v>
      </c>
      <c r="D270">
        <v>0.308</v>
      </c>
      <c r="E270">
        <v>-3.7240000000000002</v>
      </c>
      <c r="F270">
        <v>200787</v>
      </c>
      <c r="G270">
        <v>0.60499999999999998</v>
      </c>
      <c r="H270">
        <v>198</v>
      </c>
      <c r="I270">
        <v>0.39600000000000002</v>
      </c>
      <c r="J270">
        <v>8.6499999999999994E-2</v>
      </c>
      <c r="K270" t="s">
        <v>838</v>
      </c>
      <c r="L270">
        <v>57</v>
      </c>
      <c r="M270">
        <v>0.76800000000000002</v>
      </c>
      <c r="N270">
        <v>100.209</v>
      </c>
      <c r="O270">
        <v>0</v>
      </c>
      <c r="P270">
        <v>0</v>
      </c>
      <c r="Q270">
        <v>1</v>
      </c>
      <c r="R270" t="s">
        <v>839</v>
      </c>
      <c r="S270" t="s">
        <v>840</v>
      </c>
      <c r="T270">
        <f>I270*-0.5+M270*0.5</f>
        <v>0.186</v>
      </c>
      <c r="U270">
        <f>I270*0.7+M270*-0.25+D270*-0.25</f>
        <v>8.199999999999999E-3</v>
      </c>
      <c r="V270">
        <f>J270*0.5+I270*-0.5</f>
        <v>-0.15475</v>
      </c>
      <c r="W270">
        <f>M270*0.5+G270*0.25+I270*0.25</f>
        <v>0.63424999999999998</v>
      </c>
    </row>
    <row r="271" spans="1:23" x14ac:dyDescent="0.2">
      <c r="A271">
        <v>3.4700000000000002E-2</v>
      </c>
      <c r="B271">
        <v>2</v>
      </c>
      <c r="C271">
        <v>4</v>
      </c>
      <c r="D271">
        <v>5.5199999999999999E-2</v>
      </c>
      <c r="E271">
        <v>-2.3780000000000001</v>
      </c>
      <c r="F271">
        <v>194240</v>
      </c>
      <c r="G271">
        <v>0.67300000000000004</v>
      </c>
      <c r="H271">
        <v>193</v>
      </c>
      <c r="I271">
        <v>0.53</v>
      </c>
      <c r="J271">
        <v>6.2899999999999998E-2</v>
      </c>
      <c r="K271" t="s">
        <v>572</v>
      </c>
      <c r="L271">
        <v>50</v>
      </c>
      <c r="M271">
        <v>0.90200000000000002</v>
      </c>
      <c r="N271">
        <v>100.01600000000001</v>
      </c>
      <c r="O271">
        <v>1.74E-4</v>
      </c>
      <c r="P271">
        <v>1</v>
      </c>
      <c r="Q271">
        <v>16</v>
      </c>
      <c r="R271" t="s">
        <v>573</v>
      </c>
      <c r="S271" t="s">
        <v>574</v>
      </c>
      <c r="T271">
        <f>I271*-0.5+M271*0.5</f>
        <v>0.186</v>
      </c>
      <c r="U271">
        <f>I271*0.7+M271*-0.25+D271*-0.25</f>
        <v>0.13169999999999998</v>
      </c>
      <c r="V271">
        <f>J271*0.5+I271*-0.5</f>
        <v>-0.23355000000000001</v>
      </c>
      <c r="W271">
        <f>M271*0.5+G271*0.25+I271*0.25</f>
        <v>0.75175000000000014</v>
      </c>
    </row>
    <row r="272" spans="1:23" x14ac:dyDescent="0.2">
      <c r="A272">
        <v>2.98E-2</v>
      </c>
      <c r="B272">
        <v>9</v>
      </c>
      <c r="C272">
        <v>4</v>
      </c>
      <c r="D272">
        <v>9.8699999999999996E-2</v>
      </c>
      <c r="E272">
        <v>-4.9390000000000001</v>
      </c>
      <c r="F272">
        <v>235947</v>
      </c>
      <c r="G272">
        <v>0.51600000000000001</v>
      </c>
      <c r="H272">
        <v>246</v>
      </c>
      <c r="I272">
        <v>0.19500000000000001</v>
      </c>
      <c r="J272">
        <v>0.128</v>
      </c>
      <c r="K272" t="s">
        <v>1401</v>
      </c>
      <c r="L272">
        <v>12</v>
      </c>
      <c r="M272">
        <v>0.56699999999999995</v>
      </c>
      <c r="N272">
        <v>136.13499999999999</v>
      </c>
      <c r="O272">
        <v>0</v>
      </c>
      <c r="P272">
        <v>1</v>
      </c>
      <c r="Q272">
        <v>16</v>
      </c>
      <c r="R272" t="s">
        <v>1145</v>
      </c>
      <c r="S272" t="s">
        <v>1402</v>
      </c>
      <c r="T272">
        <f>I272*-0.5+M272*0.5</f>
        <v>0.18599999999999997</v>
      </c>
      <c r="U272">
        <f>I272*0.7+M272*-0.25+D272*-0.25</f>
        <v>-2.9925000000000004E-2</v>
      </c>
      <c r="V272">
        <f>J272*0.5+I272*-0.5</f>
        <v>-3.3500000000000002E-2</v>
      </c>
      <c r="W272">
        <f>M272*0.5+G272*0.25+I272*0.25</f>
        <v>0.46124999999999999</v>
      </c>
    </row>
    <row r="273" spans="1:23" x14ac:dyDescent="0.2">
      <c r="A273">
        <v>3.0700000000000002E-2</v>
      </c>
      <c r="B273">
        <v>6</v>
      </c>
      <c r="C273">
        <v>4</v>
      </c>
      <c r="D273">
        <v>9.0700000000000003E-2</v>
      </c>
      <c r="E273">
        <v>-5.2069999999999999</v>
      </c>
      <c r="F273">
        <v>222200</v>
      </c>
      <c r="G273">
        <v>0.77</v>
      </c>
      <c r="H273">
        <v>216</v>
      </c>
      <c r="I273">
        <v>0.27900000000000003</v>
      </c>
      <c r="J273">
        <v>0.113</v>
      </c>
      <c r="K273" t="s">
        <v>1179</v>
      </c>
      <c r="L273">
        <v>50</v>
      </c>
      <c r="M273">
        <v>0.64900000000000002</v>
      </c>
      <c r="N273">
        <v>125.096</v>
      </c>
      <c r="O273">
        <v>0</v>
      </c>
      <c r="P273">
        <v>0</v>
      </c>
      <c r="Q273">
        <v>11</v>
      </c>
      <c r="R273" t="s">
        <v>1180</v>
      </c>
      <c r="S273" t="s">
        <v>1181</v>
      </c>
      <c r="T273">
        <f>I273*-0.5+M273*0.5</f>
        <v>0.185</v>
      </c>
      <c r="U273">
        <f>I273*0.7+M273*-0.25+D273*-0.25</f>
        <v>1.0374999999999995E-2</v>
      </c>
      <c r="V273">
        <f>J273*0.5+I273*-0.5</f>
        <v>-8.3000000000000018E-2</v>
      </c>
      <c r="W273">
        <f>M273*0.5+G273*0.25+I273*0.25</f>
        <v>0.58674999999999999</v>
      </c>
    </row>
    <row r="274" spans="1:23" x14ac:dyDescent="0.2">
      <c r="A274">
        <v>0.191</v>
      </c>
      <c r="B274">
        <v>1</v>
      </c>
      <c r="C274">
        <v>4</v>
      </c>
      <c r="D274">
        <v>0.59699999999999998</v>
      </c>
      <c r="E274">
        <v>-5.1429999999999998</v>
      </c>
      <c r="F274">
        <v>196653</v>
      </c>
      <c r="G274">
        <v>0.88</v>
      </c>
      <c r="H274">
        <v>193</v>
      </c>
      <c r="I274">
        <v>0.51300000000000001</v>
      </c>
      <c r="J274">
        <v>8.0300000000000007E-3</v>
      </c>
      <c r="K274" t="s">
        <v>473</v>
      </c>
      <c r="L274">
        <v>19</v>
      </c>
      <c r="M274">
        <v>0.88100000000000001</v>
      </c>
      <c r="N274">
        <v>102.517</v>
      </c>
      <c r="O274">
        <v>1.44E-4</v>
      </c>
      <c r="P274">
        <v>1</v>
      </c>
      <c r="Q274">
        <v>2</v>
      </c>
      <c r="R274" t="s">
        <v>474</v>
      </c>
      <c r="S274" t="s">
        <v>475</v>
      </c>
      <c r="T274">
        <f>I274*-0.5+M274*0.5</f>
        <v>0.184</v>
      </c>
      <c r="U274">
        <f>I274*0.7+M274*-0.25+D274*-0.25</f>
        <v>-1.040000000000002E-2</v>
      </c>
      <c r="V274">
        <f>J274*0.5+I274*-0.5</f>
        <v>-0.25248500000000001</v>
      </c>
      <c r="W274">
        <f>M274*0.5+G274*0.25+I274*0.25</f>
        <v>0.78874999999999995</v>
      </c>
    </row>
    <row r="275" spans="1:23" x14ac:dyDescent="0.2">
      <c r="A275">
        <v>3.7999999999999999E-2</v>
      </c>
      <c r="B275">
        <v>1</v>
      </c>
      <c r="C275">
        <v>4</v>
      </c>
      <c r="D275">
        <v>0.13300000000000001</v>
      </c>
      <c r="E275">
        <v>-5.2380000000000004</v>
      </c>
      <c r="F275">
        <v>266600</v>
      </c>
      <c r="G275">
        <v>0.46</v>
      </c>
      <c r="H275">
        <v>252</v>
      </c>
      <c r="I275">
        <v>0.41899999999999998</v>
      </c>
      <c r="J275">
        <v>2.1499999999999998E-2</v>
      </c>
      <c r="K275" t="s">
        <v>613</v>
      </c>
      <c r="L275">
        <v>46</v>
      </c>
      <c r="M275">
        <v>0.78600000000000003</v>
      </c>
      <c r="N275">
        <v>103.19199999999999</v>
      </c>
      <c r="O275">
        <v>0</v>
      </c>
      <c r="P275">
        <v>1</v>
      </c>
      <c r="Q275">
        <v>9</v>
      </c>
      <c r="R275" t="s">
        <v>614</v>
      </c>
      <c r="S275" t="s">
        <v>615</v>
      </c>
      <c r="T275">
        <f>I275*-0.5+M275*0.5</f>
        <v>0.18350000000000002</v>
      </c>
      <c r="U275">
        <f>I275*0.7+M275*-0.25+D275*-0.25</f>
        <v>6.354999999999994E-2</v>
      </c>
      <c r="V275">
        <f>J275*0.5+I275*-0.5</f>
        <v>-0.19874999999999998</v>
      </c>
      <c r="W275">
        <f>M275*0.5+G275*0.25+I275*0.25</f>
        <v>0.61275000000000002</v>
      </c>
    </row>
    <row r="276" spans="1:23" x14ac:dyDescent="0.2">
      <c r="A276">
        <v>6.83E-2</v>
      </c>
      <c r="B276">
        <v>5</v>
      </c>
      <c r="C276">
        <v>4</v>
      </c>
      <c r="D276">
        <v>0.106</v>
      </c>
      <c r="E276">
        <v>-5.2110000000000003</v>
      </c>
      <c r="F276">
        <v>239773</v>
      </c>
      <c r="G276">
        <v>0.54900000000000004</v>
      </c>
      <c r="H276">
        <v>238</v>
      </c>
      <c r="I276">
        <v>0.51700000000000002</v>
      </c>
      <c r="J276">
        <v>4.13E-3</v>
      </c>
      <c r="K276" t="s">
        <v>461</v>
      </c>
      <c r="L276">
        <v>61</v>
      </c>
      <c r="M276">
        <v>0.88400000000000001</v>
      </c>
      <c r="N276">
        <v>124.04600000000001</v>
      </c>
      <c r="O276">
        <v>1.48E-3</v>
      </c>
      <c r="P276">
        <v>0</v>
      </c>
      <c r="Q276">
        <v>18</v>
      </c>
      <c r="R276" t="s">
        <v>462</v>
      </c>
      <c r="S276" t="s">
        <v>463</v>
      </c>
      <c r="T276">
        <f>I276*-0.5+M276*0.5</f>
        <v>0.1835</v>
      </c>
      <c r="U276">
        <f>I276*0.7+M276*-0.25+D276*-0.25</f>
        <v>0.1144</v>
      </c>
      <c r="V276">
        <f>J276*0.5+I276*-0.5</f>
        <v>-0.25643500000000002</v>
      </c>
      <c r="W276">
        <f>M276*0.5+G276*0.25+I276*0.25</f>
        <v>0.70850000000000002</v>
      </c>
    </row>
    <row r="277" spans="1:23" x14ac:dyDescent="0.2">
      <c r="A277">
        <v>4.9000000000000002E-2</v>
      </c>
      <c r="B277">
        <v>5</v>
      </c>
      <c r="C277">
        <v>4</v>
      </c>
      <c r="D277">
        <v>0.27600000000000002</v>
      </c>
      <c r="E277">
        <v>-3.552</v>
      </c>
      <c r="F277">
        <v>296733</v>
      </c>
      <c r="G277">
        <v>0.70899999999999996</v>
      </c>
      <c r="H277">
        <v>256</v>
      </c>
      <c r="I277">
        <v>0.52400000000000002</v>
      </c>
      <c r="J277">
        <v>0.19</v>
      </c>
      <c r="K277" t="s">
        <v>1002</v>
      </c>
      <c r="L277">
        <v>5</v>
      </c>
      <c r="M277">
        <v>0.89100000000000001</v>
      </c>
      <c r="N277">
        <v>99.376000000000005</v>
      </c>
      <c r="O277">
        <v>1.0200000000000001E-2</v>
      </c>
      <c r="P277">
        <v>0</v>
      </c>
      <c r="Q277">
        <v>14</v>
      </c>
      <c r="R277" t="s">
        <v>777</v>
      </c>
      <c r="S277" t="s">
        <v>1003</v>
      </c>
      <c r="T277">
        <f>I277*-0.5+M277*0.5</f>
        <v>0.1835</v>
      </c>
      <c r="U277">
        <f>I277*0.7+M277*-0.25+D277*-0.25</f>
        <v>7.5050000000000006E-2</v>
      </c>
      <c r="V277">
        <f>J277*0.5+I277*-0.5</f>
        <v>-0.16700000000000001</v>
      </c>
      <c r="W277">
        <f>M277*0.5+G277*0.25+I277*0.25</f>
        <v>0.75375000000000003</v>
      </c>
    </row>
    <row r="278" spans="1:23" x14ac:dyDescent="0.2">
      <c r="A278">
        <v>4.6300000000000001E-2</v>
      </c>
      <c r="B278">
        <v>11</v>
      </c>
      <c r="C278">
        <v>4</v>
      </c>
      <c r="D278">
        <v>0.20300000000000001</v>
      </c>
      <c r="E278">
        <v>-4.4569999999999999</v>
      </c>
      <c r="F278">
        <v>278036</v>
      </c>
      <c r="G278">
        <v>0.67200000000000004</v>
      </c>
      <c r="H278">
        <v>276</v>
      </c>
      <c r="I278">
        <v>0.45200000000000001</v>
      </c>
      <c r="J278">
        <v>3.7100000000000001E-2</v>
      </c>
      <c r="K278" t="s">
        <v>608</v>
      </c>
      <c r="L278">
        <v>29</v>
      </c>
      <c r="M278">
        <v>0.81899999999999995</v>
      </c>
      <c r="N278">
        <v>120.01300000000001</v>
      </c>
      <c r="O278">
        <v>1.84E-4</v>
      </c>
      <c r="P278">
        <v>1</v>
      </c>
      <c r="Q278">
        <v>6</v>
      </c>
      <c r="R278" t="s">
        <v>556</v>
      </c>
      <c r="S278" t="s">
        <v>609</v>
      </c>
      <c r="T278">
        <f>I278*-0.5+M278*0.5</f>
        <v>0.18349999999999997</v>
      </c>
      <c r="U278">
        <f>I278*0.7+M278*-0.25+D278*-0.25</f>
        <v>6.0900000000000024E-2</v>
      </c>
      <c r="V278">
        <f>J278*0.5+I278*-0.5</f>
        <v>-0.20745</v>
      </c>
      <c r="W278">
        <f>M278*0.5+G278*0.25+I278*0.25</f>
        <v>0.6905</v>
      </c>
    </row>
    <row r="279" spans="1:23" x14ac:dyDescent="0.2">
      <c r="A279">
        <v>5.5E-2</v>
      </c>
      <c r="B279">
        <v>4</v>
      </c>
      <c r="C279">
        <v>4</v>
      </c>
      <c r="D279">
        <v>0.23300000000000001</v>
      </c>
      <c r="E279">
        <v>-4.6829999999999998</v>
      </c>
      <c r="F279">
        <v>187227</v>
      </c>
      <c r="G279">
        <v>0.55300000000000005</v>
      </c>
      <c r="H279">
        <v>185</v>
      </c>
      <c r="I279">
        <v>0.54600000000000004</v>
      </c>
      <c r="J279">
        <v>8.1399999999999997E-3</v>
      </c>
      <c r="K279" t="s">
        <v>447</v>
      </c>
      <c r="L279">
        <v>33</v>
      </c>
      <c r="M279">
        <v>0.91200000000000003</v>
      </c>
      <c r="N279">
        <v>105.004</v>
      </c>
      <c r="O279">
        <v>0</v>
      </c>
      <c r="P279">
        <v>0</v>
      </c>
      <c r="Q279">
        <v>20</v>
      </c>
      <c r="R279" t="s">
        <v>448</v>
      </c>
      <c r="S279" t="s">
        <v>449</v>
      </c>
      <c r="T279">
        <f>I279*-0.5+M279*0.5</f>
        <v>0.183</v>
      </c>
      <c r="U279">
        <f>I279*0.7+M279*-0.25+D279*-0.25</f>
        <v>9.594999999999998E-2</v>
      </c>
      <c r="V279">
        <f>J279*0.5+I279*-0.5</f>
        <v>-0.26893</v>
      </c>
      <c r="W279">
        <f>M279*0.5+G279*0.25+I279*0.25</f>
        <v>0.73075000000000001</v>
      </c>
    </row>
    <row r="280" spans="1:23" x14ac:dyDescent="0.2">
      <c r="A280">
        <v>4.1000000000000002E-2</v>
      </c>
      <c r="B280">
        <v>3</v>
      </c>
      <c r="C280">
        <v>4</v>
      </c>
      <c r="D280">
        <v>0.109</v>
      </c>
      <c r="E280">
        <v>-2.5950000000000002</v>
      </c>
      <c r="F280">
        <v>204661</v>
      </c>
      <c r="G280">
        <v>0.42399999999999999</v>
      </c>
      <c r="H280">
        <v>204</v>
      </c>
      <c r="I280">
        <v>0.55100000000000005</v>
      </c>
      <c r="J280">
        <v>1.72E-2</v>
      </c>
      <c r="K280" t="s">
        <v>456</v>
      </c>
      <c r="L280">
        <v>26</v>
      </c>
      <c r="M280">
        <v>0.91700000000000004</v>
      </c>
      <c r="N280">
        <v>156.071</v>
      </c>
      <c r="O280">
        <v>0</v>
      </c>
      <c r="P280">
        <v>1</v>
      </c>
      <c r="Q280">
        <v>16</v>
      </c>
      <c r="R280" t="s">
        <v>76</v>
      </c>
      <c r="S280" t="s">
        <v>457</v>
      </c>
      <c r="T280">
        <f>I280*-0.5+M280*0.5</f>
        <v>0.183</v>
      </c>
      <c r="U280">
        <f>I280*0.7+M280*-0.25+D280*-0.25</f>
        <v>0.12919999999999998</v>
      </c>
      <c r="V280">
        <f>J280*0.5+I280*-0.5</f>
        <v>-0.26690000000000003</v>
      </c>
      <c r="W280">
        <f>M280*0.5+G280*0.25+I280*0.25</f>
        <v>0.70225000000000004</v>
      </c>
    </row>
    <row r="281" spans="1:23" x14ac:dyDescent="0.2">
      <c r="A281">
        <v>4.7300000000000002E-2</v>
      </c>
      <c r="B281">
        <v>7</v>
      </c>
      <c r="C281">
        <v>4</v>
      </c>
      <c r="D281">
        <v>8.3799999999999999E-2</v>
      </c>
      <c r="E281">
        <v>-4.8289999999999997</v>
      </c>
      <c r="F281">
        <v>255093</v>
      </c>
      <c r="G281">
        <v>0.53700000000000003</v>
      </c>
      <c r="H281">
        <v>252</v>
      </c>
      <c r="I281">
        <v>0.41199999999999998</v>
      </c>
      <c r="J281">
        <v>2.7900000000000001E-2</v>
      </c>
      <c r="K281" t="s">
        <v>669</v>
      </c>
      <c r="L281">
        <v>50</v>
      </c>
      <c r="M281">
        <v>0.77700000000000002</v>
      </c>
      <c r="N281">
        <v>124.943</v>
      </c>
      <c r="O281" s="1">
        <v>6.1199999999999997E-5</v>
      </c>
      <c r="P281">
        <v>0</v>
      </c>
      <c r="Q281">
        <v>4</v>
      </c>
      <c r="R281" t="s">
        <v>670</v>
      </c>
      <c r="S281" t="s">
        <v>671</v>
      </c>
      <c r="T281">
        <f>I281*-0.5+M281*0.5</f>
        <v>0.18250000000000002</v>
      </c>
      <c r="U281">
        <f>I281*0.7+M281*-0.25+D281*-0.25</f>
        <v>7.3199999999999987E-2</v>
      </c>
      <c r="V281">
        <f>J281*0.5+I281*-0.5</f>
        <v>-0.19205</v>
      </c>
      <c r="W281">
        <f>M281*0.5+G281*0.25+I281*0.25</f>
        <v>0.62575000000000003</v>
      </c>
    </row>
    <row r="282" spans="1:23" x14ac:dyDescent="0.2">
      <c r="A282">
        <v>3.85E-2</v>
      </c>
      <c r="B282">
        <v>7</v>
      </c>
      <c r="C282">
        <v>4</v>
      </c>
      <c r="D282">
        <v>0.20799999999999999</v>
      </c>
      <c r="E282">
        <v>-4.8</v>
      </c>
      <c r="F282">
        <v>228879</v>
      </c>
      <c r="G282">
        <v>0.55000000000000004</v>
      </c>
      <c r="H282">
        <v>227</v>
      </c>
      <c r="I282">
        <v>0.36399999999999999</v>
      </c>
      <c r="J282">
        <v>3.3800000000000002E-3</v>
      </c>
      <c r="K282" t="s">
        <v>672</v>
      </c>
      <c r="L282">
        <v>49</v>
      </c>
      <c r="M282">
        <v>0.72899999999999998</v>
      </c>
      <c r="N282">
        <v>129.06299999999999</v>
      </c>
      <c r="O282">
        <v>0</v>
      </c>
      <c r="P282">
        <v>1</v>
      </c>
      <c r="Q282">
        <v>4</v>
      </c>
      <c r="R282" t="s">
        <v>206</v>
      </c>
      <c r="S282" t="s">
        <v>673</v>
      </c>
      <c r="T282">
        <f>I282*-0.5+M282*0.5</f>
        <v>0.1825</v>
      </c>
      <c r="U282">
        <f>I282*0.7+M282*-0.25+D282*-0.25</f>
        <v>2.0549999999999978E-2</v>
      </c>
      <c r="V282">
        <f>J282*0.5+I282*-0.5</f>
        <v>-0.18031</v>
      </c>
      <c r="W282">
        <f>M282*0.5+G282*0.25+I282*0.25</f>
        <v>0.59299999999999997</v>
      </c>
    </row>
    <row r="283" spans="1:23" x14ac:dyDescent="0.2">
      <c r="A283">
        <v>6.1899999999999997E-2</v>
      </c>
      <c r="B283">
        <v>9</v>
      </c>
      <c r="C283">
        <v>4</v>
      </c>
      <c r="D283">
        <v>0.52900000000000003</v>
      </c>
      <c r="E283">
        <v>-4.3739999999999997</v>
      </c>
      <c r="F283">
        <v>186827</v>
      </c>
      <c r="G283">
        <v>0.56100000000000005</v>
      </c>
      <c r="H283">
        <v>186</v>
      </c>
      <c r="I283">
        <v>0.56200000000000006</v>
      </c>
      <c r="J283">
        <v>3.1300000000000001E-2</v>
      </c>
      <c r="K283" t="s">
        <v>493</v>
      </c>
      <c r="L283">
        <v>46</v>
      </c>
      <c r="M283">
        <v>0.92700000000000005</v>
      </c>
      <c r="N283">
        <v>152.011</v>
      </c>
      <c r="O283" s="1">
        <v>2.34E-5</v>
      </c>
      <c r="P283">
        <v>0</v>
      </c>
      <c r="Q283">
        <v>8</v>
      </c>
      <c r="R283" t="s">
        <v>222</v>
      </c>
      <c r="S283" t="s">
        <v>494</v>
      </c>
      <c r="T283">
        <f>I283*-0.5+M283*0.5</f>
        <v>0.1825</v>
      </c>
      <c r="U283">
        <f>I283*0.7+M283*-0.25+D283*-0.25</f>
        <v>2.9400000000000009E-2</v>
      </c>
      <c r="V283">
        <f>J283*0.5+I283*-0.5</f>
        <v>-0.26535000000000003</v>
      </c>
      <c r="W283">
        <f>M283*0.5+G283*0.25+I283*0.25</f>
        <v>0.74425000000000008</v>
      </c>
    </row>
    <row r="284" spans="1:23" x14ac:dyDescent="0.2">
      <c r="A284">
        <v>7.4499999999999997E-2</v>
      </c>
      <c r="B284">
        <v>10</v>
      </c>
      <c r="C284">
        <v>4</v>
      </c>
      <c r="D284">
        <v>0.33500000000000002</v>
      </c>
      <c r="E284">
        <v>-1.8859999999999999</v>
      </c>
      <c r="F284">
        <v>188840</v>
      </c>
      <c r="G284">
        <v>0.38900000000000001</v>
      </c>
      <c r="H284">
        <v>188</v>
      </c>
      <c r="I284">
        <v>0.59399999999999997</v>
      </c>
      <c r="J284">
        <v>4.06E-4</v>
      </c>
      <c r="K284" t="s">
        <v>308</v>
      </c>
      <c r="L284">
        <v>7</v>
      </c>
      <c r="M284">
        <v>0.95899999999999996</v>
      </c>
      <c r="N284">
        <v>151.334</v>
      </c>
      <c r="O284" s="1">
        <v>1.0900000000000001E-5</v>
      </c>
      <c r="P284">
        <v>1</v>
      </c>
      <c r="Q284">
        <v>19</v>
      </c>
      <c r="R284" t="s">
        <v>309</v>
      </c>
      <c r="S284" t="s">
        <v>310</v>
      </c>
      <c r="T284">
        <f>I284*-0.5+M284*0.5</f>
        <v>0.1825</v>
      </c>
      <c r="U284">
        <f>I284*0.7+M284*-0.25+D284*-0.25</f>
        <v>9.2299999999999952E-2</v>
      </c>
      <c r="V284">
        <f>J284*0.5+I284*-0.5</f>
        <v>-0.29679699999999998</v>
      </c>
      <c r="W284">
        <f>M284*0.5+G284*0.25+I284*0.25</f>
        <v>0.72524999999999995</v>
      </c>
    </row>
    <row r="285" spans="1:23" x14ac:dyDescent="0.2">
      <c r="A285">
        <v>4.3999999999999997E-2</v>
      </c>
      <c r="B285">
        <v>10</v>
      </c>
      <c r="C285">
        <v>4</v>
      </c>
      <c r="D285">
        <v>8.8099999999999998E-2</v>
      </c>
      <c r="E285">
        <v>-4.3029999999999999</v>
      </c>
      <c r="F285">
        <v>178107</v>
      </c>
      <c r="G285">
        <v>0.80500000000000005</v>
      </c>
      <c r="H285">
        <v>176</v>
      </c>
      <c r="I285">
        <v>0.38200000000000001</v>
      </c>
      <c r="J285">
        <v>0.20899999999999999</v>
      </c>
      <c r="K285" t="s">
        <v>1387</v>
      </c>
      <c r="L285">
        <v>53</v>
      </c>
      <c r="M285">
        <v>0.745</v>
      </c>
      <c r="N285">
        <v>92.984999999999999</v>
      </c>
      <c r="O285">
        <v>1.2899999999999999E-4</v>
      </c>
      <c r="P285">
        <v>0</v>
      </c>
      <c r="Q285">
        <v>11</v>
      </c>
      <c r="R285" t="s">
        <v>1388</v>
      </c>
      <c r="S285" t="s">
        <v>1389</v>
      </c>
      <c r="T285">
        <f>I285*-0.5+M285*0.5</f>
        <v>0.18149999999999999</v>
      </c>
      <c r="U285">
        <f>I285*0.7+M285*-0.25+D285*-0.25</f>
        <v>5.9124999999999969E-2</v>
      </c>
      <c r="V285">
        <f>J285*0.5+I285*-0.5</f>
        <v>-8.6500000000000007E-2</v>
      </c>
      <c r="W285">
        <f>M285*0.5+G285*0.25+I285*0.25</f>
        <v>0.66925000000000001</v>
      </c>
    </row>
    <row r="286" spans="1:23" x14ac:dyDescent="0.2">
      <c r="A286">
        <v>4.4499999999999998E-2</v>
      </c>
      <c r="B286">
        <v>1</v>
      </c>
      <c r="C286">
        <v>4</v>
      </c>
      <c r="D286">
        <v>7.1599999999999997E-2</v>
      </c>
      <c r="E286">
        <v>-4.9580000000000002</v>
      </c>
      <c r="F286">
        <v>236827</v>
      </c>
      <c r="G286">
        <v>0.78</v>
      </c>
      <c r="H286">
        <v>230</v>
      </c>
      <c r="I286">
        <v>0.32700000000000001</v>
      </c>
      <c r="J286">
        <v>5.6500000000000002E-2</v>
      </c>
      <c r="K286" t="s">
        <v>904</v>
      </c>
      <c r="L286">
        <v>5</v>
      </c>
      <c r="M286">
        <v>0.69</v>
      </c>
      <c r="N286">
        <v>98.001999999999995</v>
      </c>
      <c r="O286" s="1">
        <v>8.1899999999999999E-5</v>
      </c>
      <c r="P286">
        <v>0</v>
      </c>
      <c r="Q286">
        <v>8</v>
      </c>
      <c r="R286" t="s">
        <v>905</v>
      </c>
      <c r="S286" t="s">
        <v>906</v>
      </c>
      <c r="T286">
        <f>I286*-0.5+M286*0.5</f>
        <v>0.18149999999999997</v>
      </c>
      <c r="U286">
        <f>I286*0.7+M286*-0.25+D286*-0.25</f>
        <v>3.8500000000000006E-2</v>
      </c>
      <c r="V286">
        <f>J286*0.5+I286*-0.5</f>
        <v>-0.13525000000000001</v>
      </c>
      <c r="W286">
        <f>M286*0.5+G286*0.25+I286*0.25</f>
        <v>0.62175000000000002</v>
      </c>
    </row>
    <row r="287" spans="1:23" x14ac:dyDescent="0.2">
      <c r="A287">
        <v>4.0899999999999999E-2</v>
      </c>
      <c r="B287">
        <v>4</v>
      </c>
      <c r="C287">
        <v>4</v>
      </c>
      <c r="D287">
        <v>0.45400000000000001</v>
      </c>
      <c r="E287">
        <v>-5.88</v>
      </c>
      <c r="F287">
        <v>195707</v>
      </c>
      <c r="G287">
        <v>0.501</v>
      </c>
      <c r="H287">
        <v>196</v>
      </c>
      <c r="I287">
        <v>0.157</v>
      </c>
      <c r="J287">
        <v>0.109</v>
      </c>
      <c r="K287" t="s">
        <v>1455</v>
      </c>
      <c r="L287">
        <v>61</v>
      </c>
      <c r="M287">
        <v>0.51900000000000002</v>
      </c>
      <c r="N287">
        <v>133.99</v>
      </c>
      <c r="O287">
        <v>0</v>
      </c>
      <c r="P287">
        <v>0</v>
      </c>
      <c r="Q287">
        <v>12</v>
      </c>
      <c r="R287" t="s">
        <v>1456</v>
      </c>
      <c r="S287" t="s">
        <v>1457</v>
      </c>
      <c r="T287">
        <f>I287*-0.5+M287*0.5</f>
        <v>0.18099999999999999</v>
      </c>
      <c r="U287">
        <f>I287*0.7+M287*-0.25+D287*-0.25</f>
        <v>-0.13335000000000002</v>
      </c>
      <c r="V287">
        <f>J287*0.5+I287*-0.5</f>
        <v>-2.4E-2</v>
      </c>
      <c r="W287">
        <f>M287*0.5+G287*0.25+I287*0.25</f>
        <v>0.42400000000000004</v>
      </c>
    </row>
    <row r="288" spans="1:23" x14ac:dyDescent="0.2">
      <c r="A288">
        <v>3.8100000000000002E-2</v>
      </c>
      <c r="B288">
        <v>9</v>
      </c>
      <c r="C288">
        <v>4</v>
      </c>
      <c r="D288">
        <v>6.9800000000000001E-2</v>
      </c>
      <c r="E288">
        <v>-4.452</v>
      </c>
      <c r="F288">
        <v>323467</v>
      </c>
      <c r="G288">
        <v>0.64600000000000002</v>
      </c>
      <c r="H288">
        <v>222</v>
      </c>
      <c r="I288">
        <v>0.52500000000000002</v>
      </c>
      <c r="J288">
        <v>0.127</v>
      </c>
      <c r="K288" t="s">
        <v>801</v>
      </c>
      <c r="L288">
        <v>12</v>
      </c>
      <c r="M288">
        <v>0.88700000000000001</v>
      </c>
      <c r="N288">
        <v>110.964</v>
      </c>
      <c r="O288">
        <v>2.5900000000000001E-4</v>
      </c>
      <c r="P288">
        <v>1</v>
      </c>
      <c r="Q288">
        <v>17</v>
      </c>
      <c r="R288" t="s">
        <v>802</v>
      </c>
      <c r="S288" t="s">
        <v>803</v>
      </c>
      <c r="T288">
        <f>I288*-0.5+M288*0.5</f>
        <v>0.18099999999999999</v>
      </c>
      <c r="U288">
        <f>I288*0.7+M288*-0.25+D288*-0.25</f>
        <v>0.1283</v>
      </c>
      <c r="V288">
        <f>J288*0.5+I288*-0.5</f>
        <v>-0.19900000000000001</v>
      </c>
      <c r="W288">
        <f>M288*0.5+G288*0.25+I288*0.25</f>
        <v>0.73624999999999996</v>
      </c>
    </row>
    <row r="289" spans="1:23" x14ac:dyDescent="0.2">
      <c r="A289">
        <v>3.5499999999999997E-2</v>
      </c>
      <c r="B289">
        <v>3</v>
      </c>
      <c r="C289">
        <v>4</v>
      </c>
      <c r="D289">
        <v>9.1999999999999998E-2</v>
      </c>
      <c r="E289">
        <v>-5.7489999999999997</v>
      </c>
      <c r="F289">
        <v>249067</v>
      </c>
      <c r="G289">
        <v>0.48499999999999999</v>
      </c>
      <c r="H289">
        <v>245</v>
      </c>
      <c r="I289">
        <v>0.55000000000000004</v>
      </c>
      <c r="J289" s="1">
        <v>8.6700000000000007E-5</v>
      </c>
      <c r="K289" t="s">
        <v>438</v>
      </c>
      <c r="L289">
        <v>31</v>
      </c>
      <c r="M289">
        <v>0.91100000000000003</v>
      </c>
      <c r="N289">
        <v>89.956000000000003</v>
      </c>
      <c r="O289">
        <v>0</v>
      </c>
      <c r="P289">
        <v>1</v>
      </c>
      <c r="Q289">
        <v>18</v>
      </c>
      <c r="R289" t="s">
        <v>38</v>
      </c>
      <c r="S289" t="s">
        <v>439</v>
      </c>
      <c r="T289">
        <f>I289*-0.5+M289*0.5</f>
        <v>0.18049999999999999</v>
      </c>
      <c r="U289">
        <f>I289*0.7+M289*-0.25+D289*-0.25</f>
        <v>0.13425000000000001</v>
      </c>
      <c r="V289">
        <f>J289*0.5+I289*-0.5</f>
        <v>-0.27495665000000002</v>
      </c>
      <c r="W289">
        <f>M289*0.5+G289*0.25+I289*0.25</f>
        <v>0.71425000000000005</v>
      </c>
    </row>
    <row r="290" spans="1:23" x14ac:dyDescent="0.2">
      <c r="A290">
        <v>5.5800000000000002E-2</v>
      </c>
      <c r="B290">
        <v>5</v>
      </c>
      <c r="C290">
        <v>4</v>
      </c>
      <c r="D290">
        <v>9.6500000000000002E-2</v>
      </c>
      <c r="E290">
        <v>-2.5259999999999998</v>
      </c>
      <c r="F290">
        <v>200347</v>
      </c>
      <c r="G290">
        <v>0.60699999999999998</v>
      </c>
      <c r="H290">
        <v>197</v>
      </c>
      <c r="I290">
        <v>0.56299999999999994</v>
      </c>
      <c r="J290">
        <v>2.2100000000000002E-2</v>
      </c>
      <c r="K290" t="s">
        <v>487</v>
      </c>
      <c r="L290">
        <v>33</v>
      </c>
      <c r="M290">
        <v>0.92200000000000004</v>
      </c>
      <c r="N290">
        <v>130.97200000000001</v>
      </c>
      <c r="O290" s="1">
        <v>2.0400000000000001E-5</v>
      </c>
      <c r="P290">
        <v>1</v>
      </c>
      <c r="Q290">
        <v>14</v>
      </c>
      <c r="R290" t="s">
        <v>488</v>
      </c>
      <c r="S290" t="s">
        <v>489</v>
      </c>
      <c r="T290">
        <f>I290*-0.5+M290*0.5</f>
        <v>0.17950000000000005</v>
      </c>
      <c r="U290">
        <f>I290*0.7+M290*-0.25+D290*-0.25</f>
        <v>0.13947499999999993</v>
      </c>
      <c r="V290">
        <f>J290*0.5+I290*-0.5</f>
        <v>-0.27044999999999997</v>
      </c>
      <c r="W290">
        <f>M290*0.5+G290*0.25+I290*0.25</f>
        <v>0.75350000000000006</v>
      </c>
    </row>
    <row r="291" spans="1:23" x14ac:dyDescent="0.2">
      <c r="A291">
        <v>3.3599999999999998E-2</v>
      </c>
      <c r="B291">
        <v>7</v>
      </c>
      <c r="C291">
        <v>4</v>
      </c>
      <c r="D291">
        <v>9.5500000000000002E-2</v>
      </c>
      <c r="E291">
        <v>-4.2770000000000001</v>
      </c>
      <c r="F291">
        <v>268120</v>
      </c>
      <c r="G291">
        <v>0.71199999999999997</v>
      </c>
      <c r="H291">
        <v>254</v>
      </c>
      <c r="I291">
        <v>0.28799999999999998</v>
      </c>
      <c r="J291">
        <v>0.23899999999999999</v>
      </c>
      <c r="K291" t="s">
        <v>1748</v>
      </c>
      <c r="L291">
        <v>26</v>
      </c>
      <c r="M291">
        <v>0.64700000000000002</v>
      </c>
      <c r="N291">
        <v>113.116</v>
      </c>
      <c r="O291">
        <v>0</v>
      </c>
      <c r="P291">
        <v>1</v>
      </c>
      <c r="Q291">
        <v>11</v>
      </c>
      <c r="R291" t="s">
        <v>1749</v>
      </c>
      <c r="S291" t="s">
        <v>1750</v>
      </c>
      <c r="T291">
        <f>I291*-0.5+M291*0.5</f>
        <v>0.17950000000000002</v>
      </c>
      <c r="U291">
        <f>I291*0.7+M291*-0.25+D291*-0.25</f>
        <v>1.5974999999999968E-2</v>
      </c>
      <c r="V291">
        <f>J291*0.5+I291*-0.5</f>
        <v>-2.4499999999999994E-2</v>
      </c>
      <c r="W291">
        <f>M291*0.5+G291*0.25+I291*0.25</f>
        <v>0.57350000000000001</v>
      </c>
    </row>
    <row r="292" spans="1:23" x14ac:dyDescent="0.2">
      <c r="A292">
        <v>3.4500000000000003E-2</v>
      </c>
      <c r="B292">
        <v>1</v>
      </c>
      <c r="C292">
        <v>4</v>
      </c>
      <c r="D292">
        <v>0.107</v>
      </c>
      <c r="E292">
        <v>-6.1589999999999998</v>
      </c>
      <c r="F292">
        <v>240320</v>
      </c>
      <c r="G292">
        <v>0.52900000000000003</v>
      </c>
      <c r="H292">
        <v>238</v>
      </c>
      <c r="I292">
        <v>0.28199999999999997</v>
      </c>
      <c r="J292">
        <v>9.0800000000000006E-2</v>
      </c>
      <c r="K292" t="s">
        <v>1169</v>
      </c>
      <c r="L292">
        <v>56</v>
      </c>
      <c r="M292">
        <v>0.63800000000000001</v>
      </c>
      <c r="N292">
        <v>128.00700000000001</v>
      </c>
      <c r="O292">
        <v>0</v>
      </c>
      <c r="P292">
        <v>0</v>
      </c>
      <c r="Q292">
        <v>20</v>
      </c>
      <c r="R292" t="s">
        <v>1170</v>
      </c>
      <c r="S292" t="s">
        <v>1171</v>
      </c>
      <c r="T292">
        <f>I292*-0.5+M292*0.5</f>
        <v>0.17800000000000002</v>
      </c>
      <c r="U292">
        <f>I292*0.7+M292*-0.25+D292*-0.25</f>
        <v>1.1149999999999962E-2</v>
      </c>
      <c r="V292">
        <f>J292*0.5+I292*-0.5</f>
        <v>-9.5599999999999991E-2</v>
      </c>
      <c r="W292">
        <f>M292*0.5+G292*0.25+I292*0.25</f>
        <v>0.52175000000000005</v>
      </c>
    </row>
    <row r="293" spans="1:23" x14ac:dyDescent="0.2">
      <c r="A293">
        <v>0.30399999999999999</v>
      </c>
      <c r="B293">
        <v>5</v>
      </c>
      <c r="C293">
        <v>4</v>
      </c>
      <c r="D293">
        <v>8.8800000000000004E-2</v>
      </c>
      <c r="E293">
        <v>-8.2110000000000003</v>
      </c>
      <c r="F293">
        <v>212293</v>
      </c>
      <c r="G293">
        <v>0.79200000000000004</v>
      </c>
      <c r="H293">
        <v>214</v>
      </c>
      <c r="I293">
        <v>0.30499999999999999</v>
      </c>
      <c r="J293">
        <v>0.17799999999999999</v>
      </c>
      <c r="K293" t="s">
        <v>1464</v>
      </c>
      <c r="L293">
        <v>9</v>
      </c>
      <c r="M293">
        <v>0.66100000000000003</v>
      </c>
      <c r="N293">
        <v>93.004999999999995</v>
      </c>
      <c r="O293" s="1">
        <v>9.7000000000000003E-6</v>
      </c>
      <c r="P293">
        <v>0</v>
      </c>
      <c r="Q293">
        <v>10</v>
      </c>
      <c r="R293" t="s">
        <v>1465</v>
      </c>
      <c r="S293" t="s">
        <v>1466</v>
      </c>
      <c r="T293">
        <f>I293*-0.5+M293*0.5</f>
        <v>0.17800000000000002</v>
      </c>
      <c r="U293">
        <f>I293*0.7+M293*-0.25+D293*-0.25</f>
        <v>2.6049999999999986E-2</v>
      </c>
      <c r="V293">
        <f>J293*0.5+I293*-0.5</f>
        <v>-6.3500000000000001E-2</v>
      </c>
      <c r="W293">
        <f>M293*0.5+G293*0.25+I293*0.25</f>
        <v>0.60475000000000001</v>
      </c>
    </row>
    <row r="294" spans="1:23" x14ac:dyDescent="0.2">
      <c r="A294">
        <v>5.1400000000000001E-2</v>
      </c>
      <c r="B294">
        <v>11</v>
      </c>
      <c r="C294">
        <v>4</v>
      </c>
      <c r="D294">
        <v>0.38</v>
      </c>
      <c r="E294">
        <v>-5.6820000000000004</v>
      </c>
      <c r="F294">
        <v>245680</v>
      </c>
      <c r="G294">
        <v>0.67500000000000004</v>
      </c>
      <c r="H294">
        <v>233</v>
      </c>
      <c r="I294">
        <v>0.33700000000000002</v>
      </c>
      <c r="J294">
        <v>1.64E-3</v>
      </c>
      <c r="K294" t="s">
        <v>722</v>
      </c>
      <c r="L294">
        <v>29</v>
      </c>
      <c r="M294">
        <v>0.69299999999999995</v>
      </c>
      <c r="N294">
        <v>118.423</v>
      </c>
      <c r="O294">
        <v>0</v>
      </c>
      <c r="P294">
        <v>0</v>
      </c>
      <c r="Q294">
        <v>3</v>
      </c>
      <c r="R294" t="s">
        <v>723</v>
      </c>
      <c r="S294" t="s">
        <v>724</v>
      </c>
      <c r="T294">
        <f>I294*-0.5+M294*0.5</f>
        <v>0.17799999999999996</v>
      </c>
      <c r="U294">
        <f>I294*0.7+M294*-0.25+D294*-0.25</f>
        <v>-3.234999999999999E-2</v>
      </c>
      <c r="V294">
        <f>J294*0.5+I294*-0.5</f>
        <v>-0.16768000000000002</v>
      </c>
      <c r="W294">
        <f>M294*0.5+G294*0.25+I294*0.25</f>
        <v>0.59950000000000003</v>
      </c>
    </row>
    <row r="295" spans="1:23" x14ac:dyDescent="0.2">
      <c r="A295">
        <v>6.0499999999999998E-2</v>
      </c>
      <c r="B295">
        <v>1</v>
      </c>
      <c r="C295">
        <v>4</v>
      </c>
      <c r="D295">
        <v>0.104</v>
      </c>
      <c r="E295">
        <v>-4.7359999999999998</v>
      </c>
      <c r="F295">
        <v>192200</v>
      </c>
      <c r="G295">
        <v>0.66800000000000004</v>
      </c>
      <c r="H295">
        <v>187</v>
      </c>
      <c r="I295">
        <v>0.36399999999999999</v>
      </c>
      <c r="J295">
        <v>1.6500000000000001E-2</v>
      </c>
      <c r="K295" t="s">
        <v>733</v>
      </c>
      <c r="L295">
        <v>40</v>
      </c>
      <c r="M295">
        <v>0.71799999999999997</v>
      </c>
      <c r="N295">
        <v>91.992999999999995</v>
      </c>
      <c r="O295">
        <v>0</v>
      </c>
      <c r="P295">
        <v>0</v>
      </c>
      <c r="Q295">
        <v>10</v>
      </c>
      <c r="R295" t="s">
        <v>734</v>
      </c>
      <c r="S295" t="s">
        <v>735</v>
      </c>
      <c r="T295">
        <f>I295*-0.5+M295*0.5</f>
        <v>0.17699999999999999</v>
      </c>
      <c r="U295">
        <f>I295*0.7+M295*-0.25+D295*-0.25</f>
        <v>4.9299999999999983E-2</v>
      </c>
      <c r="V295">
        <f>J295*0.5+I295*-0.5</f>
        <v>-0.17374999999999999</v>
      </c>
      <c r="W295">
        <f>M295*0.5+G295*0.25+I295*0.25</f>
        <v>0.61699999999999999</v>
      </c>
    </row>
    <row r="296" spans="1:23" x14ac:dyDescent="0.2">
      <c r="A296">
        <v>2.7799999999999998E-2</v>
      </c>
      <c r="B296">
        <v>9</v>
      </c>
      <c r="C296">
        <v>4</v>
      </c>
      <c r="D296">
        <v>0.22800000000000001</v>
      </c>
      <c r="E296">
        <v>-4.0199999999999996</v>
      </c>
      <c r="F296">
        <v>219973</v>
      </c>
      <c r="G296">
        <v>0.61599999999999999</v>
      </c>
      <c r="H296">
        <v>217</v>
      </c>
      <c r="I296">
        <v>0.375</v>
      </c>
      <c r="J296">
        <v>2.75E-2</v>
      </c>
      <c r="K296" t="s">
        <v>765</v>
      </c>
      <c r="L296">
        <v>41</v>
      </c>
      <c r="M296">
        <v>0.72799999999999998</v>
      </c>
      <c r="N296">
        <v>111.934</v>
      </c>
      <c r="O296">
        <v>0</v>
      </c>
      <c r="P296">
        <v>0</v>
      </c>
      <c r="Q296">
        <v>15</v>
      </c>
      <c r="R296" t="s">
        <v>766</v>
      </c>
      <c r="S296" t="s">
        <v>767</v>
      </c>
      <c r="T296">
        <f>I296*-0.5+M296*0.5</f>
        <v>0.17649999999999999</v>
      </c>
      <c r="U296">
        <f>I296*0.7+M296*-0.25+D296*-0.25</f>
        <v>2.3499999999999958E-2</v>
      </c>
      <c r="V296">
        <f>J296*0.5+I296*-0.5</f>
        <v>-0.17374999999999999</v>
      </c>
      <c r="W296">
        <f>M296*0.5+G296*0.25+I296*0.25</f>
        <v>0.61175000000000002</v>
      </c>
    </row>
    <row r="297" spans="1:23" x14ac:dyDescent="0.2">
      <c r="A297">
        <v>3.0099999999999998E-2</v>
      </c>
      <c r="B297">
        <v>0</v>
      </c>
      <c r="C297">
        <v>4</v>
      </c>
      <c r="D297">
        <v>0.14099999999999999</v>
      </c>
      <c r="E297">
        <v>-4.68</v>
      </c>
      <c r="F297">
        <v>244827</v>
      </c>
      <c r="G297">
        <v>0.33500000000000002</v>
      </c>
      <c r="H297">
        <v>244</v>
      </c>
      <c r="I297">
        <v>0.32500000000000001</v>
      </c>
      <c r="J297">
        <v>2.7499999999999998E-3</v>
      </c>
      <c r="K297" t="s">
        <v>789</v>
      </c>
      <c r="L297">
        <v>24</v>
      </c>
      <c r="M297">
        <v>0.67600000000000005</v>
      </c>
      <c r="N297">
        <v>175.845</v>
      </c>
      <c r="O297">
        <v>0</v>
      </c>
      <c r="P297">
        <v>1</v>
      </c>
      <c r="Q297">
        <v>20</v>
      </c>
      <c r="R297" t="s">
        <v>155</v>
      </c>
      <c r="S297" t="s">
        <v>790</v>
      </c>
      <c r="T297">
        <f>I297*-0.5+M297*0.5</f>
        <v>0.17550000000000002</v>
      </c>
      <c r="U297">
        <f>I297*0.7+M297*-0.25+D297*-0.25</f>
        <v>2.3249999999999972E-2</v>
      </c>
      <c r="V297">
        <f>J297*0.5+I297*-0.5</f>
        <v>-0.16112500000000002</v>
      </c>
      <c r="W297">
        <f>M297*0.5+G297*0.25+I297*0.25</f>
        <v>0.503</v>
      </c>
    </row>
    <row r="298" spans="1:23" x14ac:dyDescent="0.2">
      <c r="A298">
        <v>2.9000000000000001E-2</v>
      </c>
      <c r="B298">
        <v>5</v>
      </c>
      <c r="C298">
        <v>4</v>
      </c>
      <c r="D298">
        <v>7.0099999999999996E-2</v>
      </c>
      <c r="E298">
        <v>-5.1310000000000002</v>
      </c>
      <c r="F298">
        <v>232520</v>
      </c>
      <c r="G298">
        <v>0.67600000000000005</v>
      </c>
      <c r="H298">
        <v>229</v>
      </c>
      <c r="I298">
        <v>0.45600000000000002</v>
      </c>
      <c r="J298">
        <v>2.8400000000000002E-2</v>
      </c>
      <c r="K298" t="s">
        <v>665</v>
      </c>
      <c r="L298">
        <v>40</v>
      </c>
      <c r="M298">
        <v>0.80700000000000005</v>
      </c>
      <c r="N298">
        <v>95.956000000000003</v>
      </c>
      <c r="O298">
        <v>0</v>
      </c>
      <c r="P298">
        <v>1</v>
      </c>
      <c r="Q298">
        <v>12</v>
      </c>
      <c r="R298" t="s">
        <v>211</v>
      </c>
      <c r="S298" t="s">
        <v>666</v>
      </c>
      <c r="T298">
        <f>I298*-0.5+M298*0.5</f>
        <v>0.17550000000000002</v>
      </c>
      <c r="U298">
        <f>I298*0.7+M298*-0.25+D298*-0.25</f>
        <v>9.9924999999999972E-2</v>
      </c>
      <c r="V298">
        <f>J298*0.5+I298*-0.5</f>
        <v>-0.21380000000000002</v>
      </c>
      <c r="W298">
        <f>M298*0.5+G298*0.25+I298*0.25</f>
        <v>0.6865</v>
      </c>
    </row>
    <row r="299" spans="1:23" x14ac:dyDescent="0.2">
      <c r="A299">
        <v>3.4200000000000001E-2</v>
      </c>
      <c r="B299">
        <v>10</v>
      </c>
      <c r="C299">
        <v>4</v>
      </c>
      <c r="D299">
        <v>8.09E-2</v>
      </c>
      <c r="E299">
        <v>-5.52</v>
      </c>
      <c r="F299">
        <v>240213</v>
      </c>
      <c r="G299">
        <v>0.43</v>
      </c>
      <c r="H299">
        <v>237</v>
      </c>
      <c r="I299">
        <v>0.35199999999999998</v>
      </c>
      <c r="J299">
        <v>4.65E-2</v>
      </c>
      <c r="K299" t="s">
        <v>889</v>
      </c>
      <c r="L299">
        <v>36</v>
      </c>
      <c r="M299">
        <v>0.70299999999999996</v>
      </c>
      <c r="N299">
        <v>149.87299999999999</v>
      </c>
      <c r="O299">
        <v>0</v>
      </c>
      <c r="P299">
        <v>1</v>
      </c>
      <c r="Q299">
        <v>15</v>
      </c>
      <c r="R299" t="s">
        <v>76</v>
      </c>
      <c r="S299" t="s">
        <v>890</v>
      </c>
      <c r="T299">
        <f>I299*-0.5+M299*0.5</f>
        <v>0.17549999999999999</v>
      </c>
      <c r="U299">
        <f>I299*0.7+M299*-0.25+D299*-0.25</f>
        <v>5.0424999999999991E-2</v>
      </c>
      <c r="V299">
        <f>J299*0.5+I299*-0.5</f>
        <v>-0.15275</v>
      </c>
      <c r="W299">
        <f>M299*0.5+G299*0.25+I299*0.25</f>
        <v>0.54699999999999993</v>
      </c>
    </row>
    <row r="300" spans="1:23" x14ac:dyDescent="0.2">
      <c r="A300">
        <v>3.5499999999999997E-2</v>
      </c>
      <c r="B300">
        <v>8</v>
      </c>
      <c r="C300">
        <v>4</v>
      </c>
      <c r="D300">
        <v>9.9400000000000002E-2</v>
      </c>
      <c r="E300">
        <v>-7.157</v>
      </c>
      <c r="F300">
        <v>224960</v>
      </c>
      <c r="G300">
        <v>0.5</v>
      </c>
      <c r="H300">
        <v>223</v>
      </c>
      <c r="I300">
        <v>0.315</v>
      </c>
      <c r="J300">
        <v>2.3699999999999999E-2</v>
      </c>
      <c r="K300" t="s">
        <v>880</v>
      </c>
      <c r="L300">
        <v>28</v>
      </c>
      <c r="M300">
        <v>0.66500000000000004</v>
      </c>
      <c r="N300">
        <v>154.99700000000001</v>
      </c>
      <c r="O300" s="1">
        <v>6.41E-5</v>
      </c>
      <c r="P300">
        <v>1</v>
      </c>
      <c r="Q300">
        <v>19</v>
      </c>
      <c r="R300" t="s">
        <v>881</v>
      </c>
      <c r="S300" t="s">
        <v>882</v>
      </c>
      <c r="T300">
        <f>I300*-0.5+M300*0.5</f>
        <v>0.17500000000000002</v>
      </c>
      <c r="U300">
        <f>I300*0.7+M300*-0.25+D300*-0.25</f>
        <v>2.9399999999999964E-2</v>
      </c>
      <c r="V300">
        <f>J300*0.5+I300*-0.5</f>
        <v>-0.14565</v>
      </c>
      <c r="W300">
        <f>M300*0.5+G300*0.25+I300*0.25</f>
        <v>0.53625</v>
      </c>
    </row>
    <row r="301" spans="1:23" x14ac:dyDescent="0.2">
      <c r="A301">
        <v>2.7199999999999998E-2</v>
      </c>
      <c r="B301">
        <v>4</v>
      </c>
      <c r="C301">
        <v>3</v>
      </c>
      <c r="D301">
        <v>0.14299999999999999</v>
      </c>
      <c r="E301">
        <v>-6.6070000000000002</v>
      </c>
      <c r="F301">
        <v>267653</v>
      </c>
      <c r="G301">
        <v>0.45200000000000001</v>
      </c>
      <c r="H301">
        <v>264</v>
      </c>
      <c r="I301">
        <v>0.21299999999999999</v>
      </c>
      <c r="J301">
        <v>0.14399999999999999</v>
      </c>
      <c r="K301" t="s">
        <v>1579</v>
      </c>
      <c r="L301">
        <v>36</v>
      </c>
      <c r="M301">
        <v>0.56299999999999994</v>
      </c>
      <c r="N301">
        <v>137.715</v>
      </c>
      <c r="O301">
        <v>0</v>
      </c>
      <c r="P301">
        <v>1</v>
      </c>
      <c r="Q301">
        <v>14</v>
      </c>
      <c r="R301" t="s">
        <v>953</v>
      </c>
      <c r="S301" t="s">
        <v>1580</v>
      </c>
      <c r="T301">
        <f>I301*-0.5+M301*0.5</f>
        <v>0.17499999999999999</v>
      </c>
      <c r="U301">
        <f>I301*0.7+M301*-0.25+D301*-0.25</f>
        <v>-2.7400000000000001E-2</v>
      </c>
      <c r="V301">
        <f>J301*0.5+I301*-0.5</f>
        <v>-3.4500000000000003E-2</v>
      </c>
      <c r="W301">
        <f>M301*0.5+G301*0.25+I301*0.25</f>
        <v>0.44774999999999998</v>
      </c>
    </row>
    <row r="302" spans="1:23" x14ac:dyDescent="0.2">
      <c r="A302">
        <v>8.9800000000000005E-2</v>
      </c>
      <c r="B302">
        <v>7</v>
      </c>
      <c r="C302">
        <v>3</v>
      </c>
      <c r="D302">
        <v>5.9900000000000002E-2</v>
      </c>
      <c r="E302">
        <v>-5.6529999999999996</v>
      </c>
      <c r="F302">
        <v>201493</v>
      </c>
      <c r="G302">
        <v>0.33200000000000002</v>
      </c>
      <c r="H302">
        <v>198</v>
      </c>
      <c r="I302">
        <v>0.28599999999999998</v>
      </c>
      <c r="J302">
        <v>0.159</v>
      </c>
      <c r="K302" t="s">
        <v>1478</v>
      </c>
      <c r="L302">
        <v>59</v>
      </c>
      <c r="M302">
        <v>0.63500000000000001</v>
      </c>
      <c r="N302">
        <v>186.249</v>
      </c>
      <c r="O302" s="1">
        <v>2.79E-6</v>
      </c>
      <c r="P302">
        <v>1</v>
      </c>
      <c r="Q302">
        <v>11</v>
      </c>
      <c r="R302" t="s">
        <v>1479</v>
      </c>
      <c r="S302" t="s">
        <v>1480</v>
      </c>
      <c r="T302">
        <f>I302*-0.5+M302*0.5</f>
        <v>0.17450000000000002</v>
      </c>
      <c r="U302">
        <f>I302*0.7+M302*-0.25+D302*-0.25</f>
        <v>2.6474999999999957E-2</v>
      </c>
      <c r="V302">
        <f>J302*0.5+I302*-0.5</f>
        <v>-6.3499999999999987E-2</v>
      </c>
      <c r="W302">
        <f>M302*0.5+G302*0.25+I302*0.25</f>
        <v>0.47200000000000003</v>
      </c>
    </row>
    <row r="303" spans="1:23" x14ac:dyDescent="0.2">
      <c r="A303">
        <v>6.9599999999999995E-2</v>
      </c>
      <c r="B303">
        <v>8</v>
      </c>
      <c r="C303">
        <v>4</v>
      </c>
      <c r="D303">
        <v>4.9000000000000002E-2</v>
      </c>
      <c r="E303">
        <v>-4.1360000000000001</v>
      </c>
      <c r="F303">
        <v>199938</v>
      </c>
      <c r="G303">
        <v>0.91100000000000003</v>
      </c>
      <c r="H303">
        <v>195</v>
      </c>
      <c r="I303">
        <v>0.35799999999999998</v>
      </c>
      <c r="J303">
        <v>0.10199999999999999</v>
      </c>
      <c r="K303" t="s">
        <v>1100</v>
      </c>
      <c r="L303">
        <v>51</v>
      </c>
      <c r="M303">
        <v>0.70699999999999996</v>
      </c>
      <c r="N303">
        <v>94.963999999999999</v>
      </c>
      <c r="O303">
        <v>0</v>
      </c>
      <c r="P303">
        <v>1</v>
      </c>
      <c r="Q303">
        <v>4</v>
      </c>
      <c r="R303" t="s">
        <v>1101</v>
      </c>
      <c r="S303" t="s">
        <v>1102</v>
      </c>
      <c r="T303">
        <f>I303*-0.5+M303*0.5</f>
        <v>0.17449999999999999</v>
      </c>
      <c r="U303">
        <f>I303*0.7+M303*-0.25+D303*-0.25</f>
        <v>6.1600000000000002E-2</v>
      </c>
      <c r="V303">
        <f>J303*0.5+I303*-0.5</f>
        <v>-0.128</v>
      </c>
      <c r="W303">
        <f>M303*0.5+G303*0.25+I303*0.25</f>
        <v>0.67075000000000007</v>
      </c>
    </row>
    <row r="304" spans="1:23" x14ac:dyDescent="0.2">
      <c r="A304">
        <v>8.3199999999999996E-2</v>
      </c>
      <c r="B304">
        <v>1</v>
      </c>
      <c r="C304">
        <v>4</v>
      </c>
      <c r="D304">
        <v>0.23499999999999999</v>
      </c>
      <c r="E304">
        <v>-4.3140000000000001</v>
      </c>
      <c r="F304">
        <v>236933</v>
      </c>
      <c r="G304">
        <v>0.622</v>
      </c>
      <c r="H304">
        <v>229</v>
      </c>
      <c r="I304">
        <v>0.61499999999999999</v>
      </c>
      <c r="J304">
        <v>6.3600000000000004E-2</v>
      </c>
      <c r="K304" t="s">
        <v>546</v>
      </c>
      <c r="L304">
        <v>6</v>
      </c>
      <c r="M304">
        <v>0.96399999999999997</v>
      </c>
      <c r="N304">
        <v>92.972999999999999</v>
      </c>
      <c r="O304" s="1">
        <v>1.03E-5</v>
      </c>
      <c r="P304">
        <v>1</v>
      </c>
      <c r="Q304">
        <v>19</v>
      </c>
      <c r="R304" t="s">
        <v>547</v>
      </c>
      <c r="S304" t="s">
        <v>548</v>
      </c>
      <c r="T304">
        <f>I304*-0.5+M304*0.5</f>
        <v>0.17449999999999999</v>
      </c>
      <c r="U304">
        <f>I304*0.7+M304*-0.25+D304*-0.25</f>
        <v>0.13075000000000001</v>
      </c>
      <c r="V304">
        <f>J304*0.5+I304*-0.5</f>
        <v>-0.2757</v>
      </c>
      <c r="W304">
        <f>M304*0.5+G304*0.25+I304*0.25</f>
        <v>0.79125000000000001</v>
      </c>
    </row>
    <row r="305" spans="1:23" x14ac:dyDescent="0.2">
      <c r="A305">
        <v>3.3799999999999997E-2</v>
      </c>
      <c r="B305">
        <v>7</v>
      </c>
      <c r="C305">
        <v>4</v>
      </c>
      <c r="D305">
        <v>9.8199999999999996E-2</v>
      </c>
      <c r="E305">
        <v>-4.1459999999999999</v>
      </c>
      <c r="F305">
        <v>222827</v>
      </c>
      <c r="G305">
        <v>0.51200000000000001</v>
      </c>
      <c r="H305">
        <v>222</v>
      </c>
      <c r="I305">
        <v>0.51700000000000002</v>
      </c>
      <c r="J305">
        <v>8.2100000000000001E-4</v>
      </c>
      <c r="K305" t="s">
        <v>534</v>
      </c>
      <c r="L305">
        <v>29</v>
      </c>
      <c r="M305">
        <v>0.86499999999999999</v>
      </c>
      <c r="N305">
        <v>138.017</v>
      </c>
      <c r="O305">
        <v>0</v>
      </c>
      <c r="P305">
        <v>1</v>
      </c>
      <c r="Q305">
        <v>16</v>
      </c>
      <c r="R305" t="s">
        <v>507</v>
      </c>
      <c r="S305" t="s">
        <v>535</v>
      </c>
      <c r="T305">
        <f>I305*-0.5+M305*0.5</f>
        <v>0.17399999999999999</v>
      </c>
      <c r="U305">
        <f>I305*0.7+M305*-0.25+D305*-0.25</f>
        <v>0.1211</v>
      </c>
      <c r="V305">
        <f>J305*0.5+I305*-0.5</f>
        <v>-0.25808950000000003</v>
      </c>
      <c r="W305">
        <f>M305*0.5+G305*0.25+I305*0.25</f>
        <v>0.68974999999999997</v>
      </c>
    </row>
    <row r="306" spans="1:23" x14ac:dyDescent="0.2">
      <c r="A306">
        <v>5.3699999999999998E-2</v>
      </c>
      <c r="B306">
        <v>5</v>
      </c>
      <c r="C306">
        <v>4</v>
      </c>
      <c r="D306">
        <v>0.125</v>
      </c>
      <c r="E306">
        <v>-6.6120000000000001</v>
      </c>
      <c r="F306">
        <v>252534</v>
      </c>
      <c r="G306">
        <v>0.254</v>
      </c>
      <c r="H306">
        <v>248</v>
      </c>
      <c r="I306">
        <v>0.27100000000000002</v>
      </c>
      <c r="J306">
        <v>0.24</v>
      </c>
      <c r="K306" t="s">
        <v>1835</v>
      </c>
      <c r="L306">
        <v>55</v>
      </c>
      <c r="M306">
        <v>0.61699999999999999</v>
      </c>
      <c r="N306">
        <v>189.42500000000001</v>
      </c>
      <c r="O306">
        <v>0</v>
      </c>
      <c r="P306">
        <v>0</v>
      </c>
      <c r="Q306">
        <v>1</v>
      </c>
      <c r="R306" t="s">
        <v>267</v>
      </c>
      <c r="S306" t="s">
        <v>1836</v>
      </c>
      <c r="T306">
        <f>I306*-0.5+M306*0.5</f>
        <v>0.17299999999999999</v>
      </c>
      <c r="U306">
        <f>I306*0.7+M306*-0.25+D306*-0.25</f>
        <v>4.2000000000000093E-3</v>
      </c>
      <c r="V306">
        <f>J306*0.5+I306*-0.5</f>
        <v>-1.5500000000000014E-2</v>
      </c>
      <c r="W306">
        <f>M306*0.5+G306*0.25+I306*0.25</f>
        <v>0.43974999999999997</v>
      </c>
    </row>
    <row r="307" spans="1:23" x14ac:dyDescent="0.2">
      <c r="A307">
        <v>0.127</v>
      </c>
      <c r="B307">
        <v>11</v>
      </c>
      <c r="C307">
        <v>4</v>
      </c>
      <c r="D307">
        <v>0.16</v>
      </c>
      <c r="E307">
        <v>-4.1280000000000001</v>
      </c>
      <c r="F307">
        <v>218680</v>
      </c>
      <c r="G307">
        <v>0.57299999999999995</v>
      </c>
      <c r="H307">
        <v>216</v>
      </c>
      <c r="I307">
        <v>0.53300000000000003</v>
      </c>
      <c r="J307">
        <v>0.249</v>
      </c>
      <c r="K307" t="s">
        <v>1315</v>
      </c>
      <c r="L307">
        <v>44</v>
      </c>
      <c r="M307">
        <v>0.879</v>
      </c>
      <c r="N307">
        <v>91.992000000000004</v>
      </c>
      <c r="O307">
        <v>0</v>
      </c>
      <c r="P307">
        <v>1</v>
      </c>
      <c r="Q307">
        <v>17</v>
      </c>
      <c r="R307" t="s">
        <v>1316</v>
      </c>
      <c r="S307" t="s">
        <v>1317</v>
      </c>
      <c r="T307">
        <f>I307*-0.5+M307*0.5</f>
        <v>0.17299999999999999</v>
      </c>
      <c r="U307">
        <f>I307*0.7+M307*-0.25+D307*-0.25</f>
        <v>0.11334999999999998</v>
      </c>
      <c r="V307">
        <f>J307*0.5+I307*-0.5</f>
        <v>-0.14200000000000002</v>
      </c>
      <c r="W307">
        <f>M307*0.5+G307*0.25+I307*0.25</f>
        <v>0.71599999999999997</v>
      </c>
    </row>
    <row r="308" spans="1:23" x14ac:dyDescent="0.2">
      <c r="A308">
        <v>0.109</v>
      </c>
      <c r="B308">
        <v>8</v>
      </c>
      <c r="C308">
        <v>4</v>
      </c>
      <c r="D308">
        <v>5.67E-2</v>
      </c>
      <c r="E308">
        <v>-3.9420000000000002</v>
      </c>
      <c r="F308">
        <v>212560</v>
      </c>
      <c r="G308">
        <v>0.57299999999999995</v>
      </c>
      <c r="H308">
        <v>208</v>
      </c>
      <c r="I308">
        <v>0.58399999999999996</v>
      </c>
      <c r="J308">
        <v>0.19700000000000001</v>
      </c>
      <c r="K308" t="s">
        <v>1035</v>
      </c>
      <c r="L308">
        <v>45</v>
      </c>
      <c r="M308">
        <v>0.92900000000000005</v>
      </c>
      <c r="N308">
        <v>127.934</v>
      </c>
      <c r="O308">
        <v>1.12E-4</v>
      </c>
      <c r="P308">
        <v>0</v>
      </c>
      <c r="Q308">
        <v>6</v>
      </c>
      <c r="R308" t="s">
        <v>1036</v>
      </c>
      <c r="S308" t="s">
        <v>1037</v>
      </c>
      <c r="T308">
        <f>I308*-0.5+M308*0.5</f>
        <v>0.17250000000000004</v>
      </c>
      <c r="U308">
        <f>I308*0.7+M308*-0.25+D308*-0.25</f>
        <v>0.16237499999999994</v>
      </c>
      <c r="V308">
        <f>J308*0.5+I308*-0.5</f>
        <v>-0.19349999999999998</v>
      </c>
      <c r="W308">
        <f>M308*0.5+G308*0.25+I308*0.25</f>
        <v>0.75375000000000003</v>
      </c>
    </row>
    <row r="309" spans="1:23" x14ac:dyDescent="0.2">
      <c r="A309">
        <v>5.1900000000000002E-2</v>
      </c>
      <c r="B309">
        <v>6</v>
      </c>
      <c r="C309">
        <v>4</v>
      </c>
      <c r="D309">
        <v>0.11</v>
      </c>
      <c r="E309">
        <v>-4.7389999999999999</v>
      </c>
      <c r="F309">
        <v>206707</v>
      </c>
      <c r="G309">
        <v>0.434</v>
      </c>
      <c r="H309">
        <v>204</v>
      </c>
      <c r="I309">
        <v>0.443</v>
      </c>
      <c r="J309">
        <v>0.20799999999999999</v>
      </c>
      <c r="K309" t="s">
        <v>1356</v>
      </c>
      <c r="L309">
        <v>35</v>
      </c>
      <c r="M309">
        <v>0.78800000000000003</v>
      </c>
      <c r="N309">
        <v>205.661</v>
      </c>
      <c r="O309">
        <v>0</v>
      </c>
      <c r="P309">
        <v>1</v>
      </c>
      <c r="Q309">
        <v>17</v>
      </c>
      <c r="R309" t="s">
        <v>1357</v>
      </c>
      <c r="S309" t="s">
        <v>1358</v>
      </c>
      <c r="T309">
        <f>I309*-0.5+M309*0.5</f>
        <v>0.17250000000000001</v>
      </c>
      <c r="U309">
        <f>I309*0.7+M309*-0.25+D309*-0.25</f>
        <v>8.5599999999999982E-2</v>
      </c>
      <c r="V309">
        <f>J309*0.5+I309*-0.5</f>
        <v>-0.11750000000000001</v>
      </c>
      <c r="W309">
        <f>M309*0.5+G309*0.25+I309*0.25</f>
        <v>0.61325000000000007</v>
      </c>
    </row>
    <row r="310" spans="1:23" x14ac:dyDescent="0.2">
      <c r="A310">
        <v>2.76E-2</v>
      </c>
      <c r="B310">
        <v>4</v>
      </c>
      <c r="C310">
        <v>4</v>
      </c>
      <c r="D310">
        <v>0.127</v>
      </c>
      <c r="E310">
        <v>-6.3380000000000001</v>
      </c>
      <c r="F310">
        <v>239800</v>
      </c>
      <c r="G310">
        <v>0.47</v>
      </c>
      <c r="H310">
        <v>238</v>
      </c>
      <c r="I310">
        <v>0.34300000000000003</v>
      </c>
      <c r="J310">
        <v>3.1500000000000001E-4</v>
      </c>
      <c r="K310" t="s">
        <v>784</v>
      </c>
      <c r="L310">
        <v>13</v>
      </c>
      <c r="M310">
        <v>0.68700000000000006</v>
      </c>
      <c r="N310">
        <v>87.995000000000005</v>
      </c>
      <c r="O310" s="1">
        <v>7.0600000000000002E-6</v>
      </c>
      <c r="P310">
        <v>0</v>
      </c>
      <c r="Q310">
        <v>18</v>
      </c>
      <c r="R310" t="s">
        <v>454</v>
      </c>
      <c r="S310" t="s">
        <v>785</v>
      </c>
      <c r="T310">
        <f>I310*-0.5+M310*0.5</f>
        <v>0.17200000000000001</v>
      </c>
      <c r="U310">
        <f>I310*0.7+M310*-0.25+D310*-0.25</f>
        <v>3.6599999999999994E-2</v>
      </c>
      <c r="V310">
        <f>J310*0.5+I310*-0.5</f>
        <v>-0.17134250000000001</v>
      </c>
      <c r="W310">
        <f>M310*0.5+G310*0.25+I310*0.25</f>
        <v>0.54675000000000007</v>
      </c>
    </row>
    <row r="311" spans="1:23" x14ac:dyDescent="0.2">
      <c r="A311">
        <v>9.9900000000000003E-2</v>
      </c>
      <c r="B311">
        <v>9</v>
      </c>
      <c r="C311">
        <v>4</v>
      </c>
      <c r="D311">
        <v>0.154</v>
      </c>
      <c r="E311">
        <v>-5.8710000000000004</v>
      </c>
      <c r="F311">
        <v>244453</v>
      </c>
      <c r="G311">
        <v>0.63600000000000001</v>
      </c>
      <c r="H311">
        <v>238</v>
      </c>
      <c r="I311">
        <v>0.38400000000000001</v>
      </c>
      <c r="J311">
        <v>1.5299999999999999E-2</v>
      </c>
      <c r="K311" t="s">
        <v>743</v>
      </c>
      <c r="L311">
        <v>60</v>
      </c>
      <c r="M311">
        <v>0.72799999999999998</v>
      </c>
      <c r="N311">
        <v>107.986</v>
      </c>
      <c r="O311" s="1">
        <v>1.46E-6</v>
      </c>
      <c r="P311">
        <v>1</v>
      </c>
      <c r="Q311">
        <v>4</v>
      </c>
      <c r="R311" t="s">
        <v>720</v>
      </c>
      <c r="S311" t="s">
        <v>744</v>
      </c>
      <c r="T311">
        <f>I311*-0.5+M311*0.5</f>
        <v>0.17199999999999999</v>
      </c>
      <c r="U311">
        <f>I311*0.7+M311*-0.25+D311*-0.25</f>
        <v>4.8299999999999989E-2</v>
      </c>
      <c r="V311">
        <f>J311*0.5+I311*-0.5</f>
        <v>-0.18435000000000001</v>
      </c>
      <c r="W311">
        <f>M311*0.5+G311*0.25+I311*0.25</f>
        <v>0.61899999999999999</v>
      </c>
    </row>
    <row r="312" spans="1:23" x14ac:dyDescent="0.2">
      <c r="A312">
        <v>0.06</v>
      </c>
      <c r="B312">
        <v>1</v>
      </c>
      <c r="C312">
        <v>4</v>
      </c>
      <c r="D312">
        <v>0.31900000000000001</v>
      </c>
      <c r="E312">
        <v>-5.9509999999999996</v>
      </c>
      <c r="F312">
        <v>294720</v>
      </c>
      <c r="G312">
        <v>0.54100000000000004</v>
      </c>
      <c r="H312">
        <v>293</v>
      </c>
      <c r="I312">
        <v>0.44600000000000001</v>
      </c>
      <c r="J312">
        <v>3.6099999999999999E-3</v>
      </c>
      <c r="K312" t="s">
        <v>637</v>
      </c>
      <c r="L312">
        <v>30</v>
      </c>
      <c r="M312">
        <v>0.78900000000000003</v>
      </c>
      <c r="N312">
        <v>80.075000000000003</v>
      </c>
      <c r="O312" s="1">
        <v>1.8600000000000001E-5</v>
      </c>
      <c r="P312">
        <v>1</v>
      </c>
      <c r="Q312">
        <v>8</v>
      </c>
      <c r="R312" t="s">
        <v>638</v>
      </c>
      <c r="S312" t="s">
        <v>639</v>
      </c>
      <c r="T312">
        <f>I312*-0.5+M312*0.5</f>
        <v>0.17150000000000001</v>
      </c>
      <c r="U312">
        <f>I312*0.7+M312*-0.25+D312*-0.25</f>
        <v>3.5199999999999967E-2</v>
      </c>
      <c r="V312">
        <f>J312*0.5+I312*-0.5</f>
        <v>-0.221195</v>
      </c>
      <c r="W312">
        <f>M312*0.5+G312*0.25+I312*0.25</f>
        <v>0.6412500000000001</v>
      </c>
    </row>
    <row r="313" spans="1:23" x14ac:dyDescent="0.2">
      <c r="A313">
        <v>5.0500000000000003E-2</v>
      </c>
      <c r="B313">
        <v>0</v>
      </c>
      <c r="C313">
        <v>4</v>
      </c>
      <c r="D313">
        <v>0.34100000000000003</v>
      </c>
      <c r="E313">
        <v>-3.9969999999999999</v>
      </c>
      <c r="F313">
        <v>224493</v>
      </c>
      <c r="G313">
        <v>0.53700000000000003</v>
      </c>
      <c r="H313">
        <v>223</v>
      </c>
      <c r="I313">
        <v>0.56000000000000005</v>
      </c>
      <c r="J313">
        <v>3.3799999999999997E-2</v>
      </c>
      <c r="K313" t="s">
        <v>569</v>
      </c>
      <c r="L313">
        <v>5</v>
      </c>
      <c r="M313">
        <v>0.90300000000000002</v>
      </c>
      <c r="N313">
        <v>120.069</v>
      </c>
      <c r="O313" s="1">
        <v>1.5299999999999999E-5</v>
      </c>
      <c r="P313">
        <v>0</v>
      </c>
      <c r="Q313">
        <v>19</v>
      </c>
      <c r="R313" t="s">
        <v>570</v>
      </c>
      <c r="S313" t="s">
        <v>571</v>
      </c>
      <c r="T313">
        <f>I313*-0.5+M313*0.5</f>
        <v>0.17149999999999999</v>
      </c>
      <c r="U313">
        <f>I313*0.7+M313*-0.25+D313*-0.25</f>
        <v>8.1000000000000003E-2</v>
      </c>
      <c r="V313">
        <f>J313*0.5+I313*-0.5</f>
        <v>-0.2631</v>
      </c>
      <c r="W313">
        <f>M313*0.5+G313*0.25+I313*0.25</f>
        <v>0.72575000000000001</v>
      </c>
    </row>
    <row r="314" spans="1:23" x14ac:dyDescent="0.2">
      <c r="A314">
        <v>6.4500000000000002E-2</v>
      </c>
      <c r="B314">
        <v>5</v>
      </c>
      <c r="C314">
        <v>4</v>
      </c>
      <c r="D314">
        <v>0.47199999999999998</v>
      </c>
      <c r="E314">
        <v>-2.73</v>
      </c>
      <c r="F314">
        <v>239773</v>
      </c>
      <c r="G314">
        <v>0.69099999999999995</v>
      </c>
      <c r="H314">
        <v>241</v>
      </c>
      <c r="I314">
        <v>0.58699999999999997</v>
      </c>
      <c r="J314">
        <v>8.77E-3</v>
      </c>
      <c r="K314" t="s">
        <v>490</v>
      </c>
      <c r="L314">
        <v>20</v>
      </c>
      <c r="M314">
        <v>0.92900000000000005</v>
      </c>
      <c r="N314">
        <v>130.899</v>
      </c>
      <c r="O314">
        <v>0</v>
      </c>
      <c r="P314">
        <v>0</v>
      </c>
      <c r="Q314">
        <v>2</v>
      </c>
      <c r="R314" t="s">
        <v>491</v>
      </c>
      <c r="S314" t="s">
        <v>492</v>
      </c>
      <c r="T314">
        <f>I314*-0.5+M314*0.5</f>
        <v>0.17100000000000004</v>
      </c>
      <c r="U314">
        <f>I314*0.7+M314*-0.25+D314*-0.25</f>
        <v>6.0649999999999926E-2</v>
      </c>
      <c r="V314">
        <f>J314*0.5+I314*-0.5</f>
        <v>-0.28911500000000001</v>
      </c>
      <c r="W314">
        <f>M314*0.5+G314*0.25+I314*0.25</f>
        <v>0.78400000000000003</v>
      </c>
    </row>
    <row r="315" spans="1:23" x14ac:dyDescent="0.2">
      <c r="A315">
        <v>9.4700000000000006E-2</v>
      </c>
      <c r="B315">
        <v>6</v>
      </c>
      <c r="C315">
        <v>4</v>
      </c>
      <c r="D315">
        <v>0.317</v>
      </c>
      <c r="E315">
        <v>-3.6989999999999998</v>
      </c>
      <c r="F315">
        <v>163627</v>
      </c>
      <c r="G315">
        <v>0.60299999999999998</v>
      </c>
      <c r="H315">
        <v>162</v>
      </c>
      <c r="I315">
        <v>0.61</v>
      </c>
      <c r="J315">
        <v>1.89E-3</v>
      </c>
      <c r="K315" t="s">
        <v>435</v>
      </c>
      <c r="L315">
        <v>48</v>
      </c>
      <c r="M315">
        <v>0.95199999999999996</v>
      </c>
      <c r="N315">
        <v>133.97</v>
      </c>
      <c r="O315">
        <v>4.4499999999999997E-4</v>
      </c>
      <c r="P315">
        <v>1</v>
      </c>
      <c r="Q315">
        <v>17</v>
      </c>
      <c r="R315" t="s">
        <v>436</v>
      </c>
      <c r="S315" t="s">
        <v>437</v>
      </c>
      <c r="T315">
        <f>I315*-0.5+M315*0.5</f>
        <v>0.17099999999999999</v>
      </c>
      <c r="U315">
        <f>I315*0.7+M315*-0.25+D315*-0.25</f>
        <v>0.10975</v>
      </c>
      <c r="V315">
        <f>J315*0.5+I315*-0.5</f>
        <v>-0.30405500000000002</v>
      </c>
      <c r="W315">
        <f>M315*0.5+G315*0.25+I315*0.25</f>
        <v>0.77924999999999989</v>
      </c>
    </row>
    <row r="316" spans="1:23" x14ac:dyDescent="0.2">
      <c r="A316">
        <v>6.7400000000000002E-2</v>
      </c>
      <c r="B316">
        <v>2</v>
      </c>
      <c r="C316">
        <v>4</v>
      </c>
      <c r="D316">
        <v>0.27700000000000002</v>
      </c>
      <c r="E316">
        <v>-2.9809999999999999</v>
      </c>
      <c r="F316">
        <v>204853</v>
      </c>
      <c r="G316">
        <v>0.47299999999999998</v>
      </c>
      <c r="H316">
        <v>203</v>
      </c>
      <c r="I316">
        <v>0.61899999999999999</v>
      </c>
      <c r="J316">
        <v>3.98E-3</v>
      </c>
      <c r="K316" t="s">
        <v>427</v>
      </c>
      <c r="L316">
        <v>34</v>
      </c>
      <c r="M316">
        <v>0.96099999999999997</v>
      </c>
      <c r="N316">
        <v>130.036</v>
      </c>
      <c r="O316">
        <v>0</v>
      </c>
      <c r="P316">
        <v>1</v>
      </c>
      <c r="Q316">
        <v>13</v>
      </c>
      <c r="R316" t="s">
        <v>79</v>
      </c>
      <c r="S316" t="s">
        <v>428</v>
      </c>
      <c r="T316">
        <f>I316*-0.5+M316*0.5</f>
        <v>0.17099999999999999</v>
      </c>
      <c r="U316">
        <f>I316*0.7+M316*-0.25+D316*-0.25</f>
        <v>0.12379999999999997</v>
      </c>
      <c r="V316">
        <f>J316*0.5+I316*-0.5</f>
        <v>-0.30751000000000001</v>
      </c>
      <c r="W316">
        <f>M316*0.5+G316*0.25+I316*0.25</f>
        <v>0.75350000000000006</v>
      </c>
    </row>
    <row r="317" spans="1:23" x14ac:dyDescent="0.2">
      <c r="A317">
        <v>3.09E-2</v>
      </c>
      <c r="B317">
        <v>1</v>
      </c>
      <c r="C317">
        <v>4</v>
      </c>
      <c r="D317">
        <v>5.6500000000000002E-2</v>
      </c>
      <c r="E317">
        <v>-8.8339999999999996</v>
      </c>
      <c r="F317">
        <v>331240</v>
      </c>
      <c r="G317">
        <v>0.63400000000000001</v>
      </c>
      <c r="H317">
        <v>331</v>
      </c>
      <c r="I317">
        <v>0.187</v>
      </c>
      <c r="J317">
        <v>0.11700000000000001</v>
      </c>
      <c r="K317" t="s">
        <v>1581</v>
      </c>
      <c r="L317">
        <v>1</v>
      </c>
      <c r="M317">
        <v>0.52800000000000002</v>
      </c>
      <c r="N317">
        <v>128</v>
      </c>
      <c r="O317" s="1">
        <v>2.26E-6</v>
      </c>
      <c r="P317">
        <v>1</v>
      </c>
      <c r="Q317">
        <v>6</v>
      </c>
      <c r="R317" t="s">
        <v>1582</v>
      </c>
      <c r="S317" t="s">
        <v>1583</v>
      </c>
      <c r="T317">
        <f>I317*-0.5+M317*0.5</f>
        <v>0.17050000000000001</v>
      </c>
      <c r="U317">
        <f>I317*0.7+M317*-0.25+D317*-0.25</f>
        <v>-1.5225000000000018E-2</v>
      </c>
      <c r="V317">
        <f>J317*0.5+I317*-0.5</f>
        <v>-3.4999999999999996E-2</v>
      </c>
      <c r="W317">
        <f>M317*0.5+G317*0.25+I317*0.25</f>
        <v>0.46925</v>
      </c>
    </row>
    <row r="318" spans="1:23" x14ac:dyDescent="0.2">
      <c r="A318">
        <v>4.2200000000000001E-2</v>
      </c>
      <c r="B318">
        <v>6</v>
      </c>
      <c r="C318">
        <v>4</v>
      </c>
      <c r="D318">
        <v>0.161</v>
      </c>
      <c r="E318">
        <v>-12.204000000000001</v>
      </c>
      <c r="F318">
        <v>284741</v>
      </c>
      <c r="G318">
        <v>0.63200000000000001</v>
      </c>
      <c r="H318">
        <v>238</v>
      </c>
      <c r="I318">
        <v>0.23799999999999999</v>
      </c>
      <c r="J318">
        <v>6.0400000000000002E-2</v>
      </c>
      <c r="K318" t="s">
        <v>1209</v>
      </c>
      <c r="L318">
        <v>4</v>
      </c>
      <c r="M318">
        <v>0.57899999999999996</v>
      </c>
      <c r="N318">
        <v>135.00899999999999</v>
      </c>
      <c r="O318">
        <v>0.88500000000000001</v>
      </c>
      <c r="P318">
        <v>1</v>
      </c>
      <c r="Q318">
        <v>6</v>
      </c>
      <c r="R318" t="s">
        <v>1210</v>
      </c>
      <c r="S318" t="s">
        <v>1211</v>
      </c>
      <c r="T318">
        <f>I318*-0.5+M318*0.5</f>
        <v>0.17049999999999998</v>
      </c>
      <c r="U318">
        <f>I318*0.7+M318*-0.25+D318*-0.25</f>
        <v>-1.8400000000000021E-2</v>
      </c>
      <c r="V318">
        <f>J318*0.5+I318*-0.5</f>
        <v>-8.879999999999999E-2</v>
      </c>
      <c r="W318">
        <f>M318*0.5+G318*0.25+I318*0.25</f>
        <v>0.50700000000000001</v>
      </c>
    </row>
    <row r="319" spans="1:23" x14ac:dyDescent="0.2">
      <c r="A319">
        <v>4.5699999999999998E-2</v>
      </c>
      <c r="B319">
        <v>0</v>
      </c>
      <c r="C319">
        <v>4</v>
      </c>
      <c r="D319">
        <v>8.9800000000000005E-2</v>
      </c>
      <c r="E319">
        <v>-6.6310000000000002</v>
      </c>
      <c r="F319">
        <v>239227</v>
      </c>
      <c r="G319">
        <v>0.53</v>
      </c>
      <c r="H319">
        <v>220</v>
      </c>
      <c r="I319">
        <v>0.21</v>
      </c>
      <c r="J319">
        <v>7.4700000000000001E-3</v>
      </c>
      <c r="K319" t="s">
        <v>1072</v>
      </c>
      <c r="L319">
        <v>50</v>
      </c>
      <c r="M319">
        <v>0.55000000000000004</v>
      </c>
      <c r="N319">
        <v>139.97999999999999</v>
      </c>
      <c r="O319">
        <v>4.9200000000000003E-4</v>
      </c>
      <c r="P319">
        <v>0</v>
      </c>
      <c r="Q319">
        <v>19</v>
      </c>
      <c r="R319" t="s">
        <v>1073</v>
      </c>
      <c r="S319" t="s">
        <v>1074</v>
      </c>
      <c r="T319">
        <f>I319*-0.5+M319*0.5</f>
        <v>0.17000000000000004</v>
      </c>
      <c r="U319">
        <f>I319*0.7+M319*-0.25+D319*-0.25</f>
        <v>-1.2950000000000021E-2</v>
      </c>
      <c r="V319">
        <f>J319*0.5+I319*-0.5</f>
        <v>-0.10126499999999999</v>
      </c>
      <c r="W319">
        <f>M319*0.5+G319*0.25+I319*0.25</f>
        <v>0.46</v>
      </c>
    </row>
    <row r="320" spans="1:23" x14ac:dyDescent="0.2">
      <c r="A320">
        <v>4.1599999999999998E-2</v>
      </c>
      <c r="B320">
        <v>2</v>
      </c>
      <c r="C320">
        <v>4</v>
      </c>
      <c r="D320">
        <v>9.6299999999999997E-2</v>
      </c>
      <c r="E320">
        <v>-5.5529999999999999</v>
      </c>
      <c r="F320">
        <v>203253</v>
      </c>
      <c r="G320">
        <v>0.63500000000000001</v>
      </c>
      <c r="H320">
        <v>202</v>
      </c>
      <c r="I320">
        <v>0.47499999999999998</v>
      </c>
      <c r="J320">
        <v>1.38E-2</v>
      </c>
      <c r="K320" t="s">
        <v>634</v>
      </c>
      <c r="L320">
        <v>22</v>
      </c>
      <c r="M320">
        <v>0.81499999999999995</v>
      </c>
      <c r="N320">
        <v>122.09699999999999</v>
      </c>
      <c r="O320">
        <v>0</v>
      </c>
      <c r="P320">
        <v>1</v>
      </c>
      <c r="Q320">
        <v>16</v>
      </c>
      <c r="R320" t="s">
        <v>635</v>
      </c>
      <c r="S320" t="s">
        <v>636</v>
      </c>
      <c r="T320">
        <f>I320*-0.5+M320*0.5</f>
        <v>0.16999999999999998</v>
      </c>
      <c r="U320">
        <f>I320*0.7+M320*-0.25+D320*-0.25</f>
        <v>0.10467499999999998</v>
      </c>
      <c r="V320">
        <f>J320*0.5+I320*-0.5</f>
        <v>-0.2306</v>
      </c>
      <c r="W320">
        <f>M320*0.5+G320*0.25+I320*0.25</f>
        <v>0.68499999999999994</v>
      </c>
    </row>
    <row r="321" spans="1:23" x14ac:dyDescent="0.2">
      <c r="A321">
        <v>5.9299999999999999E-2</v>
      </c>
      <c r="B321">
        <v>2</v>
      </c>
      <c r="C321">
        <v>4</v>
      </c>
      <c r="D321">
        <v>0.11799999999999999</v>
      </c>
      <c r="E321">
        <v>-7.2370000000000001</v>
      </c>
      <c r="F321">
        <v>223253</v>
      </c>
      <c r="G321">
        <v>0.70599999999999996</v>
      </c>
      <c r="H321">
        <v>218</v>
      </c>
      <c r="I321">
        <v>0.22</v>
      </c>
      <c r="J321">
        <v>0.14599999999999999</v>
      </c>
      <c r="K321" t="s">
        <v>1646</v>
      </c>
      <c r="L321">
        <v>38</v>
      </c>
      <c r="M321">
        <v>0.55800000000000005</v>
      </c>
      <c r="N321">
        <v>110.443</v>
      </c>
      <c r="O321">
        <v>0</v>
      </c>
      <c r="P321">
        <v>0</v>
      </c>
      <c r="Q321">
        <v>6</v>
      </c>
      <c r="R321" t="s">
        <v>504</v>
      </c>
      <c r="S321" t="s">
        <v>1647</v>
      </c>
      <c r="T321">
        <f>I321*-0.5+M321*0.5</f>
        <v>0.16900000000000004</v>
      </c>
      <c r="U321">
        <f>I321*0.7+M321*-0.25+D321*-0.25</f>
        <v>-1.5000000000000013E-2</v>
      </c>
      <c r="V321">
        <f>J321*0.5+I321*-0.5</f>
        <v>-3.7000000000000005E-2</v>
      </c>
      <c r="W321">
        <f>M321*0.5+G321*0.25+I321*0.25</f>
        <v>0.51050000000000006</v>
      </c>
    </row>
    <row r="322" spans="1:23" x14ac:dyDescent="0.2">
      <c r="A322">
        <v>0.159</v>
      </c>
      <c r="B322">
        <v>7</v>
      </c>
      <c r="C322">
        <v>4</v>
      </c>
      <c r="D322">
        <v>0.63900000000000001</v>
      </c>
      <c r="E322">
        <v>-5.18</v>
      </c>
      <c r="F322">
        <v>353160</v>
      </c>
      <c r="G322">
        <v>0.58799999999999997</v>
      </c>
      <c r="H322">
        <v>353</v>
      </c>
      <c r="I322">
        <v>0.32600000000000001</v>
      </c>
      <c r="J322">
        <v>4.2999999999999997E-2</v>
      </c>
      <c r="K322" t="s">
        <v>997</v>
      </c>
      <c r="L322">
        <v>48</v>
      </c>
      <c r="M322">
        <v>0.66400000000000003</v>
      </c>
      <c r="N322">
        <v>106.502</v>
      </c>
      <c r="O322" s="1">
        <v>4.3000000000000002E-5</v>
      </c>
      <c r="P322">
        <v>1</v>
      </c>
      <c r="Q322">
        <v>3</v>
      </c>
      <c r="R322" t="s">
        <v>998</v>
      </c>
      <c r="S322" t="s">
        <v>999</v>
      </c>
      <c r="T322">
        <f>I322*-0.5+M322*0.5</f>
        <v>0.16900000000000001</v>
      </c>
      <c r="U322">
        <f>I322*0.7+M322*-0.25+D322*-0.25</f>
        <v>-9.7550000000000026E-2</v>
      </c>
      <c r="V322">
        <f>J322*0.5+I322*-0.5</f>
        <v>-0.14150000000000001</v>
      </c>
      <c r="W322">
        <f>M322*0.5+G322*0.25+I322*0.25</f>
        <v>0.5605</v>
      </c>
    </row>
    <row r="323" spans="1:23" x14ac:dyDescent="0.2">
      <c r="A323">
        <v>5.6899999999999999E-2</v>
      </c>
      <c r="B323">
        <v>0</v>
      </c>
      <c r="C323">
        <v>4</v>
      </c>
      <c r="D323">
        <v>0.16300000000000001</v>
      </c>
      <c r="E323">
        <v>-3.7290000000000001</v>
      </c>
      <c r="F323">
        <v>234653</v>
      </c>
      <c r="G323">
        <v>0.79100000000000004</v>
      </c>
      <c r="H323">
        <v>232</v>
      </c>
      <c r="I323">
        <v>0.41699999999999998</v>
      </c>
      <c r="J323">
        <v>4.4600000000000004E-3</v>
      </c>
      <c r="K323" t="s">
        <v>699</v>
      </c>
      <c r="L323">
        <v>35</v>
      </c>
      <c r="M323">
        <v>0.754</v>
      </c>
      <c r="N323">
        <v>125.014</v>
      </c>
      <c r="O323">
        <v>0</v>
      </c>
      <c r="P323">
        <v>1</v>
      </c>
      <c r="Q323">
        <v>1</v>
      </c>
      <c r="R323" t="s">
        <v>700</v>
      </c>
      <c r="S323" t="s">
        <v>701</v>
      </c>
      <c r="T323">
        <f>I323*-0.5+M323*0.5</f>
        <v>0.16850000000000001</v>
      </c>
      <c r="U323">
        <f>I323*0.7+M323*-0.25+D323*-0.25</f>
        <v>6.2649999999999983E-2</v>
      </c>
      <c r="V323">
        <f>J323*0.5+I323*-0.5</f>
        <v>-0.20626999999999998</v>
      </c>
      <c r="W323">
        <f>M323*0.5+G323*0.25+I323*0.25</f>
        <v>0.67899999999999994</v>
      </c>
    </row>
    <row r="324" spans="1:23" x14ac:dyDescent="0.2">
      <c r="A324">
        <v>0.107</v>
      </c>
      <c r="B324">
        <v>8</v>
      </c>
      <c r="C324">
        <v>4</v>
      </c>
      <c r="D324">
        <v>0.21099999999999999</v>
      </c>
      <c r="E324">
        <v>-2.25</v>
      </c>
      <c r="F324">
        <v>225353</v>
      </c>
      <c r="G324">
        <v>0.78200000000000003</v>
      </c>
      <c r="H324">
        <v>223</v>
      </c>
      <c r="I324">
        <v>0.40500000000000003</v>
      </c>
      <c r="J324">
        <v>6.9099999999999995E-2</v>
      </c>
      <c r="K324" t="s">
        <v>943</v>
      </c>
      <c r="L324">
        <v>61</v>
      </c>
      <c r="M324">
        <v>0.74199999999999999</v>
      </c>
      <c r="N324">
        <v>122.03100000000001</v>
      </c>
      <c r="O324" s="1">
        <v>1.8199999999999999E-6</v>
      </c>
      <c r="P324">
        <v>1</v>
      </c>
      <c r="Q324">
        <v>20</v>
      </c>
      <c r="R324" t="s">
        <v>944</v>
      </c>
      <c r="S324" t="s">
        <v>945</v>
      </c>
      <c r="T324">
        <f>I324*-0.5+M324*0.5</f>
        <v>0.16849999999999998</v>
      </c>
      <c r="U324">
        <f>I324*0.7+M324*-0.25+D324*-0.25</f>
        <v>4.5249999999999978E-2</v>
      </c>
      <c r="V324">
        <f>J324*0.5+I324*-0.5</f>
        <v>-0.16795000000000002</v>
      </c>
      <c r="W324">
        <f>M324*0.5+G324*0.25+I324*0.25</f>
        <v>0.66775000000000007</v>
      </c>
    </row>
    <row r="325" spans="1:23" x14ac:dyDescent="0.2">
      <c r="A325">
        <v>2.7E-2</v>
      </c>
      <c r="B325">
        <v>7</v>
      </c>
      <c r="C325">
        <v>4</v>
      </c>
      <c r="D325">
        <v>0.20399999999999999</v>
      </c>
      <c r="E325">
        <v>-5.3979999999999997</v>
      </c>
      <c r="F325">
        <v>225400</v>
      </c>
      <c r="G325">
        <v>0.65100000000000002</v>
      </c>
      <c r="H325">
        <v>221</v>
      </c>
      <c r="I325">
        <v>0.34</v>
      </c>
      <c r="J325">
        <v>3.1700000000000001E-3</v>
      </c>
      <c r="K325" t="s">
        <v>841</v>
      </c>
      <c r="L325">
        <v>45</v>
      </c>
      <c r="M325">
        <v>0.67600000000000005</v>
      </c>
      <c r="N325">
        <v>119.95099999999999</v>
      </c>
      <c r="O325">
        <v>0</v>
      </c>
      <c r="P325">
        <v>1</v>
      </c>
      <c r="Q325">
        <v>8</v>
      </c>
      <c r="R325" t="s">
        <v>108</v>
      </c>
      <c r="S325" t="s">
        <v>842</v>
      </c>
      <c r="T325">
        <f>I325*-0.5+M325*0.5</f>
        <v>0.16800000000000001</v>
      </c>
      <c r="U325">
        <f>I325*0.7+M325*-0.25+D325*-0.25</f>
        <v>1.7999999999999981E-2</v>
      </c>
      <c r="V325">
        <f>J325*0.5+I325*-0.5</f>
        <v>-0.16841500000000001</v>
      </c>
      <c r="W325">
        <f>M325*0.5+G325*0.25+I325*0.25</f>
        <v>0.58574999999999999</v>
      </c>
    </row>
    <row r="326" spans="1:23" x14ac:dyDescent="0.2">
      <c r="A326">
        <v>5.28E-2</v>
      </c>
      <c r="B326">
        <v>0</v>
      </c>
      <c r="C326">
        <v>4</v>
      </c>
      <c r="D326">
        <v>0.14000000000000001</v>
      </c>
      <c r="E326">
        <v>-4.359</v>
      </c>
      <c r="F326">
        <v>234910</v>
      </c>
      <c r="G326">
        <v>0.54</v>
      </c>
      <c r="H326">
        <v>233</v>
      </c>
      <c r="I326">
        <v>0.254</v>
      </c>
      <c r="J326">
        <v>0.44600000000000001</v>
      </c>
      <c r="K326" t="s">
        <v>2435</v>
      </c>
      <c r="L326">
        <v>60</v>
      </c>
      <c r="M326">
        <v>0.59</v>
      </c>
      <c r="N326">
        <v>119.878</v>
      </c>
      <c r="O326">
        <v>0</v>
      </c>
      <c r="P326">
        <v>1</v>
      </c>
      <c r="Q326">
        <v>7</v>
      </c>
      <c r="R326" t="s">
        <v>2436</v>
      </c>
      <c r="S326" t="s">
        <v>2437</v>
      </c>
      <c r="T326">
        <f>I326*-0.5+M326*0.5</f>
        <v>0.16799999999999998</v>
      </c>
      <c r="U326">
        <f>I326*0.7+M326*-0.25+D326*-0.25</f>
        <v>-4.7000000000000097E-3</v>
      </c>
      <c r="V326">
        <f>J326*0.5+I326*-0.5</f>
        <v>9.6000000000000002E-2</v>
      </c>
      <c r="W326">
        <f>M326*0.5+G326*0.25+I326*0.25</f>
        <v>0.49349999999999999</v>
      </c>
    </row>
    <row r="327" spans="1:23" x14ac:dyDescent="0.2">
      <c r="A327">
        <v>9.4899999999999998E-2</v>
      </c>
      <c r="B327">
        <v>9</v>
      </c>
      <c r="C327">
        <v>4</v>
      </c>
      <c r="D327">
        <v>0.56100000000000005</v>
      </c>
      <c r="E327">
        <v>-2.94</v>
      </c>
      <c r="F327">
        <v>214573</v>
      </c>
      <c r="G327">
        <v>0.69399999999999995</v>
      </c>
      <c r="H327">
        <v>212</v>
      </c>
      <c r="I327">
        <v>0.55500000000000005</v>
      </c>
      <c r="J327">
        <v>5.62E-2</v>
      </c>
      <c r="K327" t="s">
        <v>662</v>
      </c>
      <c r="L327">
        <v>43</v>
      </c>
      <c r="M327">
        <v>0.89100000000000001</v>
      </c>
      <c r="N327">
        <v>97.938999999999993</v>
      </c>
      <c r="O327">
        <v>0</v>
      </c>
      <c r="P327">
        <v>1</v>
      </c>
      <c r="Q327">
        <v>10</v>
      </c>
      <c r="R327" t="s">
        <v>663</v>
      </c>
      <c r="S327" t="s">
        <v>664</v>
      </c>
      <c r="T327">
        <f>I327*-0.5+M327*0.5</f>
        <v>0.16799999999999998</v>
      </c>
      <c r="U327">
        <f>I327*0.7+M327*-0.25+D327*-0.25</f>
        <v>2.5499999999999995E-2</v>
      </c>
      <c r="V327">
        <f>J327*0.5+I327*-0.5</f>
        <v>-0.24940000000000001</v>
      </c>
      <c r="W327">
        <f>M327*0.5+G327*0.25+I327*0.25</f>
        <v>0.75775000000000003</v>
      </c>
    </row>
    <row r="328" spans="1:23" x14ac:dyDescent="0.2">
      <c r="A328">
        <v>5.6099999999999997E-2</v>
      </c>
      <c r="B328">
        <v>8</v>
      </c>
      <c r="C328">
        <v>4</v>
      </c>
      <c r="D328">
        <v>0.55300000000000005</v>
      </c>
      <c r="E328">
        <v>-2.2429999999999999</v>
      </c>
      <c r="F328">
        <v>199689</v>
      </c>
      <c r="G328">
        <v>0.70299999999999996</v>
      </c>
      <c r="H328">
        <v>199</v>
      </c>
      <c r="I328">
        <v>0.45100000000000001</v>
      </c>
      <c r="J328">
        <v>6.6600000000000006E-2</v>
      </c>
      <c r="K328" t="s">
        <v>864</v>
      </c>
      <c r="L328">
        <v>42</v>
      </c>
      <c r="M328">
        <v>0.78600000000000003</v>
      </c>
      <c r="N328">
        <v>127.95399999999999</v>
      </c>
      <c r="O328">
        <v>0</v>
      </c>
      <c r="P328">
        <v>1</v>
      </c>
      <c r="Q328">
        <v>5</v>
      </c>
      <c r="R328" t="s">
        <v>865</v>
      </c>
      <c r="S328" t="s">
        <v>866</v>
      </c>
      <c r="T328">
        <f>I328*-0.5+M328*0.5</f>
        <v>0.16750000000000001</v>
      </c>
      <c r="U328">
        <f>I328*0.7+M328*-0.25+D328*-0.25</f>
        <v>-1.9050000000000039E-2</v>
      </c>
      <c r="V328">
        <f>J328*0.5+I328*-0.5</f>
        <v>-0.19220000000000001</v>
      </c>
      <c r="W328">
        <f>M328*0.5+G328*0.25+I328*0.25</f>
        <v>0.68149999999999999</v>
      </c>
    </row>
    <row r="329" spans="1:23" x14ac:dyDescent="0.2">
      <c r="A329">
        <v>5.6399999999999999E-2</v>
      </c>
      <c r="B329">
        <v>7</v>
      </c>
      <c r="C329">
        <v>4</v>
      </c>
      <c r="D329">
        <v>0.22</v>
      </c>
      <c r="E329">
        <v>-4.2270000000000003</v>
      </c>
      <c r="F329">
        <v>281507</v>
      </c>
      <c r="G329">
        <v>0.47099999999999997</v>
      </c>
      <c r="H329">
        <v>272</v>
      </c>
      <c r="I329">
        <v>0.53400000000000003</v>
      </c>
      <c r="J329">
        <v>5.13E-3</v>
      </c>
      <c r="K329" t="s">
        <v>564</v>
      </c>
      <c r="L329">
        <v>5</v>
      </c>
      <c r="M329">
        <v>0.86799999999999999</v>
      </c>
      <c r="N329">
        <v>186.67</v>
      </c>
      <c r="O329" s="1">
        <v>7.2300000000000002E-6</v>
      </c>
      <c r="P329">
        <v>1</v>
      </c>
      <c r="Q329">
        <v>18</v>
      </c>
      <c r="R329" t="s">
        <v>547</v>
      </c>
      <c r="S329" t="s">
        <v>565</v>
      </c>
      <c r="T329">
        <f>I329*-0.5+M329*0.5</f>
        <v>0.16699999999999998</v>
      </c>
      <c r="U329">
        <f>I329*0.7+M329*-0.25+D329*-0.25</f>
        <v>0.10180000000000003</v>
      </c>
      <c r="V329">
        <f>J329*0.5+I329*-0.5</f>
        <v>-0.26443500000000003</v>
      </c>
      <c r="W329">
        <f>M329*0.5+G329*0.25+I329*0.25</f>
        <v>0.68524999999999991</v>
      </c>
    </row>
    <row r="330" spans="1:23" x14ac:dyDescent="0.2">
      <c r="A330">
        <v>4.2700000000000002E-2</v>
      </c>
      <c r="B330">
        <v>0</v>
      </c>
      <c r="C330">
        <v>4</v>
      </c>
      <c r="D330">
        <v>0.24</v>
      </c>
      <c r="E330">
        <v>-4.8129999999999997</v>
      </c>
      <c r="F330">
        <v>228827</v>
      </c>
      <c r="G330">
        <v>0.64800000000000002</v>
      </c>
      <c r="H330">
        <v>226</v>
      </c>
      <c r="I330">
        <v>0.38900000000000001</v>
      </c>
      <c r="J330">
        <v>1.03E-2</v>
      </c>
      <c r="K330" t="s">
        <v>793</v>
      </c>
      <c r="L330">
        <v>38</v>
      </c>
      <c r="M330">
        <v>0.72199999999999998</v>
      </c>
      <c r="N330">
        <v>132.97300000000001</v>
      </c>
      <c r="O330">
        <v>0</v>
      </c>
      <c r="P330">
        <v>0</v>
      </c>
      <c r="Q330">
        <v>4</v>
      </c>
      <c r="R330" t="s">
        <v>623</v>
      </c>
      <c r="S330" t="s">
        <v>794</v>
      </c>
      <c r="T330">
        <f>I330*-0.5+M330*0.5</f>
        <v>0.16649999999999998</v>
      </c>
      <c r="U330">
        <f>I330*0.7+M330*-0.25+D330*-0.25</f>
        <v>3.1799999999999995E-2</v>
      </c>
      <c r="V330">
        <f>J330*0.5+I330*-0.5</f>
        <v>-0.18935000000000002</v>
      </c>
      <c r="W330">
        <f>M330*0.5+G330*0.25+I330*0.25</f>
        <v>0.62024999999999997</v>
      </c>
    </row>
    <row r="331" spans="1:23" x14ac:dyDescent="0.2">
      <c r="A331">
        <v>3.3000000000000002E-2</v>
      </c>
      <c r="B331">
        <v>9</v>
      </c>
      <c r="C331">
        <v>4</v>
      </c>
      <c r="D331">
        <v>0.125</v>
      </c>
      <c r="E331">
        <v>-5.2640000000000002</v>
      </c>
      <c r="F331">
        <v>183307</v>
      </c>
      <c r="G331">
        <v>0.57799999999999996</v>
      </c>
      <c r="H331">
        <v>181</v>
      </c>
      <c r="I331">
        <v>0.42</v>
      </c>
      <c r="J331">
        <v>2.75E-2</v>
      </c>
      <c r="K331" t="s">
        <v>804</v>
      </c>
      <c r="L331">
        <v>29</v>
      </c>
      <c r="M331">
        <v>0.752</v>
      </c>
      <c r="N331">
        <v>149.68899999999999</v>
      </c>
      <c r="O331">
        <v>0</v>
      </c>
      <c r="P331">
        <v>1</v>
      </c>
      <c r="Q331">
        <v>19</v>
      </c>
      <c r="R331" t="s">
        <v>805</v>
      </c>
      <c r="S331" t="s">
        <v>806</v>
      </c>
      <c r="T331">
        <f>I331*-0.5+M331*0.5</f>
        <v>0.16600000000000001</v>
      </c>
      <c r="U331">
        <f>I331*0.7+M331*-0.25+D331*-0.25</f>
        <v>7.4749999999999983E-2</v>
      </c>
      <c r="V331">
        <f>J331*0.5+I331*-0.5</f>
        <v>-0.19624999999999998</v>
      </c>
      <c r="W331">
        <f>M331*0.5+G331*0.25+I331*0.25</f>
        <v>0.62549999999999994</v>
      </c>
    </row>
    <row r="332" spans="1:23" x14ac:dyDescent="0.2">
      <c r="A332">
        <v>2.75E-2</v>
      </c>
      <c r="B332">
        <v>1</v>
      </c>
      <c r="C332">
        <v>4</v>
      </c>
      <c r="D332">
        <v>0.13900000000000001</v>
      </c>
      <c r="E332">
        <v>-5.1760000000000002</v>
      </c>
      <c r="F332">
        <v>231573</v>
      </c>
      <c r="G332">
        <v>0.50900000000000001</v>
      </c>
      <c r="H332">
        <v>231</v>
      </c>
      <c r="I332">
        <v>0.30599999999999999</v>
      </c>
      <c r="J332">
        <v>4.1200000000000001E-2</v>
      </c>
      <c r="K332" t="s">
        <v>1066</v>
      </c>
      <c r="L332">
        <v>37</v>
      </c>
      <c r="M332">
        <v>0.63700000000000001</v>
      </c>
      <c r="N332">
        <v>136.05799999999999</v>
      </c>
      <c r="O332">
        <v>0</v>
      </c>
      <c r="P332">
        <v>1</v>
      </c>
      <c r="Q332">
        <v>17</v>
      </c>
      <c r="R332" t="s">
        <v>1067</v>
      </c>
      <c r="S332" t="s">
        <v>1068</v>
      </c>
      <c r="T332">
        <f>I332*-0.5+M332*0.5</f>
        <v>0.16550000000000001</v>
      </c>
      <c r="U332">
        <f>I332*0.7+M332*-0.25+D332*-0.25</f>
        <v>2.0199999999999968E-2</v>
      </c>
      <c r="V332">
        <f>J332*0.5+I332*-0.5</f>
        <v>-0.13239999999999999</v>
      </c>
      <c r="W332">
        <f>M332*0.5+G332*0.25+I332*0.25</f>
        <v>0.52224999999999999</v>
      </c>
    </row>
    <row r="333" spans="1:23" x14ac:dyDescent="0.2">
      <c r="A333">
        <v>2.5999999999999999E-2</v>
      </c>
      <c r="B333">
        <v>4</v>
      </c>
      <c r="C333">
        <v>4</v>
      </c>
      <c r="D333">
        <v>0.11700000000000001</v>
      </c>
      <c r="E333">
        <v>-4.4889999999999999</v>
      </c>
      <c r="F333">
        <v>275427</v>
      </c>
      <c r="G333">
        <v>0.55200000000000005</v>
      </c>
      <c r="H333">
        <v>283</v>
      </c>
      <c r="I333">
        <v>0.36299999999999999</v>
      </c>
      <c r="J333">
        <v>8.4599999999999995E-2</v>
      </c>
      <c r="K333" t="s">
        <v>1132</v>
      </c>
      <c r="L333">
        <v>2</v>
      </c>
      <c r="M333">
        <v>0.69399999999999995</v>
      </c>
      <c r="N333">
        <v>136.01900000000001</v>
      </c>
      <c r="O333">
        <v>0</v>
      </c>
      <c r="P333">
        <v>1</v>
      </c>
      <c r="Q333">
        <v>11</v>
      </c>
      <c r="R333" t="s">
        <v>1133</v>
      </c>
      <c r="S333" t="s">
        <v>1134</v>
      </c>
      <c r="T333">
        <f>I333*-0.5+M333*0.5</f>
        <v>0.16549999999999998</v>
      </c>
      <c r="U333">
        <f>I333*0.7+M333*-0.25+D333*-0.25</f>
        <v>5.1350000000000007E-2</v>
      </c>
      <c r="V333">
        <f>J333*0.5+I333*-0.5</f>
        <v>-0.13919999999999999</v>
      </c>
      <c r="W333">
        <f>M333*0.5+G333*0.25+I333*0.25</f>
        <v>0.57574999999999998</v>
      </c>
    </row>
    <row r="334" spans="1:23" x14ac:dyDescent="0.2">
      <c r="A334">
        <v>4.65E-2</v>
      </c>
      <c r="B334">
        <v>3</v>
      </c>
      <c r="C334">
        <v>4</v>
      </c>
      <c r="D334">
        <v>7.17E-2</v>
      </c>
      <c r="E334">
        <v>-3.1339999999999999</v>
      </c>
      <c r="F334">
        <v>198480</v>
      </c>
      <c r="G334">
        <v>0.62</v>
      </c>
      <c r="H334">
        <v>196</v>
      </c>
      <c r="I334">
        <v>0.51400000000000001</v>
      </c>
      <c r="J334">
        <v>1.5699999999999999E-2</v>
      </c>
      <c r="K334" t="s">
        <v>619</v>
      </c>
      <c r="L334">
        <v>35</v>
      </c>
      <c r="M334">
        <v>0.84399999999999997</v>
      </c>
      <c r="N334">
        <v>110.012</v>
      </c>
      <c r="O334">
        <v>0</v>
      </c>
      <c r="P334">
        <v>1</v>
      </c>
      <c r="Q334">
        <v>13</v>
      </c>
      <c r="R334" t="s">
        <v>620</v>
      </c>
      <c r="S334" t="s">
        <v>621</v>
      </c>
      <c r="T334">
        <f>I334*-0.5+M334*0.5</f>
        <v>0.16499999999999998</v>
      </c>
      <c r="U334">
        <f>I334*0.7+M334*-0.25+D334*-0.25</f>
        <v>0.13087500000000002</v>
      </c>
      <c r="V334">
        <f>J334*0.5+I334*-0.5</f>
        <v>-0.24915000000000001</v>
      </c>
      <c r="W334">
        <f>M334*0.5+G334*0.25+I334*0.25</f>
        <v>0.70550000000000002</v>
      </c>
    </row>
    <row r="335" spans="1:23" x14ac:dyDescent="0.2">
      <c r="A335">
        <v>7.7600000000000002E-2</v>
      </c>
      <c r="B335">
        <v>6</v>
      </c>
      <c r="C335">
        <v>4</v>
      </c>
      <c r="D335">
        <v>0.59</v>
      </c>
      <c r="E335">
        <v>-7.8079999999999998</v>
      </c>
      <c r="F335">
        <v>307640</v>
      </c>
      <c r="G335">
        <v>0.82899999999999996</v>
      </c>
      <c r="H335">
        <v>250</v>
      </c>
      <c r="I335">
        <v>0.46899999999999997</v>
      </c>
      <c r="J335">
        <v>7.8200000000000006E-2</v>
      </c>
      <c r="K335" t="s">
        <v>907</v>
      </c>
      <c r="L335">
        <v>38</v>
      </c>
      <c r="M335">
        <v>0.79800000000000004</v>
      </c>
      <c r="N335">
        <v>127.991</v>
      </c>
      <c r="O335" s="1">
        <v>3.7799999999999998E-6</v>
      </c>
      <c r="P335">
        <v>0</v>
      </c>
      <c r="Q335">
        <v>12</v>
      </c>
      <c r="R335" t="s">
        <v>491</v>
      </c>
      <c r="S335" t="s">
        <v>908</v>
      </c>
      <c r="T335">
        <f>I335*-0.5+M335*0.5</f>
        <v>0.16450000000000004</v>
      </c>
      <c r="U335">
        <f>I335*0.7+M335*-0.25+D335*-0.25</f>
        <v>-1.8700000000000022E-2</v>
      </c>
      <c r="V335">
        <f>J335*0.5+I335*-0.5</f>
        <v>-0.19539999999999999</v>
      </c>
      <c r="W335">
        <f>M335*0.5+G335*0.25+I335*0.25</f>
        <v>0.72349999999999992</v>
      </c>
    </row>
    <row r="336" spans="1:23" x14ac:dyDescent="0.2">
      <c r="A336">
        <v>3.9399999999999998E-2</v>
      </c>
      <c r="B336">
        <v>1</v>
      </c>
      <c r="C336">
        <v>4</v>
      </c>
      <c r="D336">
        <v>0.25900000000000001</v>
      </c>
      <c r="E336">
        <v>-5.6619999999999999</v>
      </c>
      <c r="F336">
        <v>186307</v>
      </c>
      <c r="G336">
        <v>0.60099999999999998</v>
      </c>
      <c r="H336">
        <v>186</v>
      </c>
      <c r="I336">
        <v>0.29299999999999998</v>
      </c>
      <c r="J336">
        <v>7.0999999999999994E-2</v>
      </c>
      <c r="K336" t="s">
        <v>1222</v>
      </c>
      <c r="L336">
        <v>18</v>
      </c>
      <c r="M336">
        <v>0.621</v>
      </c>
      <c r="N336">
        <v>94.552999999999997</v>
      </c>
      <c r="O336" s="1">
        <v>4.1200000000000004E-6</v>
      </c>
      <c r="P336">
        <v>0</v>
      </c>
      <c r="Q336">
        <v>6</v>
      </c>
      <c r="R336" t="s">
        <v>1223</v>
      </c>
      <c r="S336" t="s">
        <v>1224</v>
      </c>
      <c r="T336">
        <f>I336*-0.5+M336*0.5</f>
        <v>0.16400000000000001</v>
      </c>
      <c r="U336">
        <f>I336*0.7+M336*-0.25+D336*-0.25</f>
        <v>-1.4900000000000024E-2</v>
      </c>
      <c r="V336">
        <f>J336*0.5+I336*-0.5</f>
        <v>-0.11099999999999999</v>
      </c>
      <c r="W336">
        <f>M336*0.5+G336*0.25+I336*0.25</f>
        <v>0.53400000000000003</v>
      </c>
    </row>
    <row r="337" spans="1:23" x14ac:dyDescent="0.2">
      <c r="A337">
        <v>2.3599999999999999E-2</v>
      </c>
      <c r="B337">
        <v>6</v>
      </c>
      <c r="C337">
        <v>4</v>
      </c>
      <c r="D337">
        <v>0.161</v>
      </c>
      <c r="E337">
        <v>-5.75</v>
      </c>
      <c r="F337">
        <v>274480</v>
      </c>
      <c r="G337">
        <v>0.69199999999999995</v>
      </c>
      <c r="H337">
        <v>225</v>
      </c>
      <c r="I337">
        <v>0.33300000000000002</v>
      </c>
      <c r="J337">
        <v>2.7900000000000001E-2</v>
      </c>
      <c r="K337" t="s">
        <v>978</v>
      </c>
      <c r="L337">
        <v>13</v>
      </c>
      <c r="M337">
        <v>0.66100000000000003</v>
      </c>
      <c r="N337">
        <v>110.161</v>
      </c>
      <c r="O337" s="1">
        <v>2.9399999999999998E-6</v>
      </c>
      <c r="P337">
        <v>0</v>
      </c>
      <c r="Q337">
        <v>19</v>
      </c>
      <c r="R337" t="s">
        <v>979</v>
      </c>
      <c r="S337" t="s">
        <v>980</v>
      </c>
      <c r="T337">
        <f>I337*-0.5+M337*0.5</f>
        <v>0.16400000000000001</v>
      </c>
      <c r="U337">
        <f>I337*0.7+M337*-0.25+D337*-0.25</f>
        <v>2.7599999999999993E-2</v>
      </c>
      <c r="V337">
        <f>J337*0.5+I337*-0.5</f>
        <v>-0.15255000000000002</v>
      </c>
      <c r="W337">
        <f>M337*0.5+G337*0.25+I337*0.25</f>
        <v>0.5867500000000001</v>
      </c>
    </row>
    <row r="338" spans="1:23" x14ac:dyDescent="0.2">
      <c r="A338">
        <v>2.4E-2</v>
      </c>
      <c r="B338">
        <v>4</v>
      </c>
      <c r="C338">
        <v>4</v>
      </c>
      <c r="D338">
        <v>0.11700000000000001</v>
      </c>
      <c r="E338">
        <v>-4.8659999999999997</v>
      </c>
      <c r="F338">
        <v>272293</v>
      </c>
      <c r="G338">
        <v>0.53100000000000003</v>
      </c>
      <c r="H338">
        <v>221</v>
      </c>
      <c r="I338">
        <v>0.32600000000000001</v>
      </c>
      <c r="J338">
        <v>0.35099999999999998</v>
      </c>
      <c r="K338" t="s">
        <v>2152</v>
      </c>
      <c r="L338">
        <v>9</v>
      </c>
      <c r="M338">
        <v>0.65300000000000002</v>
      </c>
      <c r="N338">
        <v>158.49799999999999</v>
      </c>
      <c r="O338" s="1">
        <v>9.7E-5</v>
      </c>
      <c r="P338">
        <v>1</v>
      </c>
      <c r="Q338">
        <v>16</v>
      </c>
      <c r="R338" t="s">
        <v>232</v>
      </c>
      <c r="S338" t="s">
        <v>2153</v>
      </c>
      <c r="T338">
        <f>I338*-0.5+M338*0.5</f>
        <v>0.16350000000000001</v>
      </c>
      <c r="U338">
        <f>I338*0.7+M338*-0.25+D338*-0.25</f>
        <v>3.5699999999999982E-2</v>
      </c>
      <c r="V338">
        <f>J338*0.5+I338*-0.5</f>
        <v>1.2499999999999983E-2</v>
      </c>
      <c r="W338">
        <f>M338*0.5+G338*0.25+I338*0.25</f>
        <v>0.54075000000000006</v>
      </c>
    </row>
    <row r="339" spans="1:23" x14ac:dyDescent="0.2">
      <c r="A339">
        <v>0.06</v>
      </c>
      <c r="B339">
        <v>6</v>
      </c>
      <c r="C339">
        <v>4</v>
      </c>
      <c r="D339">
        <v>0.14499999999999999</v>
      </c>
      <c r="E339">
        <v>-6.827</v>
      </c>
      <c r="F339">
        <v>200693</v>
      </c>
      <c r="G339">
        <v>0.32300000000000001</v>
      </c>
      <c r="H339">
        <v>196</v>
      </c>
      <c r="I339">
        <v>0.183</v>
      </c>
      <c r="J339">
        <v>0.246</v>
      </c>
      <c r="K339" t="s">
        <v>2070</v>
      </c>
      <c r="L339">
        <v>60</v>
      </c>
      <c r="M339">
        <v>0.50900000000000001</v>
      </c>
      <c r="N339">
        <v>53.36</v>
      </c>
      <c r="O339">
        <v>0</v>
      </c>
      <c r="P339">
        <v>0</v>
      </c>
      <c r="Q339">
        <v>18</v>
      </c>
      <c r="R339" t="s">
        <v>2071</v>
      </c>
      <c r="S339" t="s">
        <v>2072</v>
      </c>
      <c r="T339">
        <f>I339*-0.5+M339*0.5</f>
        <v>0.16300000000000001</v>
      </c>
      <c r="U339">
        <f>I339*0.7+M339*-0.25+D339*-0.25</f>
        <v>-3.5400000000000008E-2</v>
      </c>
      <c r="V339">
        <f>J339*0.5+I339*-0.5</f>
        <v>3.15E-2</v>
      </c>
      <c r="W339">
        <f>M339*0.5+G339*0.25+I339*0.25</f>
        <v>0.38100000000000001</v>
      </c>
    </row>
    <row r="340" spans="1:23" x14ac:dyDescent="0.2">
      <c r="A340">
        <v>4.0599999999999997E-2</v>
      </c>
      <c r="B340">
        <v>0</v>
      </c>
      <c r="C340">
        <v>4</v>
      </c>
      <c r="D340">
        <v>7.2800000000000004E-2</v>
      </c>
      <c r="E340">
        <v>-6.1349999999999998</v>
      </c>
      <c r="F340">
        <v>197400</v>
      </c>
      <c r="G340">
        <v>0.53500000000000003</v>
      </c>
      <c r="H340">
        <v>194</v>
      </c>
      <c r="I340">
        <v>0.30599999999999999</v>
      </c>
      <c r="J340">
        <v>1.0500000000000001E-2</v>
      </c>
      <c r="K340" t="s">
        <v>972</v>
      </c>
      <c r="L340">
        <v>57</v>
      </c>
      <c r="M340">
        <v>0.63200000000000001</v>
      </c>
      <c r="N340">
        <v>78.98</v>
      </c>
      <c r="O340" s="1">
        <v>8.6000000000000003E-5</v>
      </c>
      <c r="P340">
        <v>1</v>
      </c>
      <c r="Q340">
        <v>17</v>
      </c>
      <c r="R340" t="s">
        <v>973</v>
      </c>
      <c r="S340" t="s">
        <v>974</v>
      </c>
      <c r="T340">
        <f>I340*-0.5+M340*0.5</f>
        <v>0.16300000000000001</v>
      </c>
      <c r="U340">
        <f>I340*0.7+M340*-0.25+D340*-0.25</f>
        <v>3.7999999999999971E-2</v>
      </c>
      <c r="V340">
        <f>J340*0.5+I340*-0.5</f>
        <v>-0.14774999999999999</v>
      </c>
      <c r="W340">
        <f>M340*0.5+G340*0.25+I340*0.25</f>
        <v>0.52625</v>
      </c>
    </row>
    <row r="341" spans="1:23" x14ac:dyDescent="0.2">
      <c r="A341">
        <v>4.8899999999999999E-2</v>
      </c>
      <c r="B341">
        <v>6</v>
      </c>
      <c r="C341">
        <v>4</v>
      </c>
      <c r="D341">
        <v>6.2700000000000006E-2</v>
      </c>
      <c r="E341">
        <v>-3.66</v>
      </c>
      <c r="F341">
        <v>198733</v>
      </c>
      <c r="G341">
        <v>0.49</v>
      </c>
      <c r="H341">
        <v>197</v>
      </c>
      <c r="I341">
        <v>0.47299999999999998</v>
      </c>
      <c r="J341">
        <v>1.37E-2</v>
      </c>
      <c r="K341" t="s">
        <v>697</v>
      </c>
      <c r="L341">
        <v>54</v>
      </c>
      <c r="M341">
        <v>0.79800000000000004</v>
      </c>
      <c r="N341">
        <v>149.10900000000001</v>
      </c>
      <c r="O341">
        <v>0</v>
      </c>
      <c r="P341">
        <v>1</v>
      </c>
      <c r="Q341">
        <v>13</v>
      </c>
      <c r="R341" t="s">
        <v>211</v>
      </c>
      <c r="S341" t="s">
        <v>698</v>
      </c>
      <c r="T341">
        <f>I341*-0.5+M341*0.5</f>
        <v>0.16250000000000003</v>
      </c>
      <c r="U341">
        <f>I341*0.7+M341*-0.25+D341*-0.25</f>
        <v>0.11592499999999994</v>
      </c>
      <c r="V341">
        <f>J341*0.5+I341*-0.5</f>
        <v>-0.22964999999999999</v>
      </c>
      <c r="W341">
        <f>M341*0.5+G341*0.25+I341*0.25</f>
        <v>0.63975000000000004</v>
      </c>
    </row>
    <row r="342" spans="1:23" x14ac:dyDescent="0.2">
      <c r="A342">
        <v>6.5699999999999995E-2</v>
      </c>
      <c r="B342">
        <v>9</v>
      </c>
      <c r="C342">
        <v>4</v>
      </c>
      <c r="D342">
        <v>0.13300000000000001</v>
      </c>
      <c r="E342">
        <v>-3.8490000000000002</v>
      </c>
      <c r="F342">
        <v>216712</v>
      </c>
      <c r="G342">
        <v>0.60899999999999999</v>
      </c>
      <c r="H342">
        <v>213</v>
      </c>
      <c r="I342">
        <v>0.39400000000000002</v>
      </c>
      <c r="J342">
        <v>3.8899999999999997E-2</v>
      </c>
      <c r="K342" t="s">
        <v>927</v>
      </c>
      <c r="L342">
        <v>33</v>
      </c>
      <c r="M342">
        <v>0.71899999999999997</v>
      </c>
      <c r="N342">
        <v>128.02699999999999</v>
      </c>
      <c r="O342">
        <v>0</v>
      </c>
      <c r="P342">
        <v>0</v>
      </c>
      <c r="Q342">
        <v>17</v>
      </c>
      <c r="R342" t="s">
        <v>928</v>
      </c>
      <c r="S342" t="s">
        <v>929</v>
      </c>
      <c r="T342">
        <f>I342*-0.5+M342*0.5</f>
        <v>0.16249999999999998</v>
      </c>
      <c r="U342">
        <f>I342*0.7+M342*-0.25+D342*-0.25</f>
        <v>6.2799999999999995E-2</v>
      </c>
      <c r="V342">
        <f>J342*0.5+I342*-0.5</f>
        <v>-0.17755000000000001</v>
      </c>
      <c r="W342">
        <f>M342*0.5+G342*0.25+I342*0.25</f>
        <v>0.61024999999999996</v>
      </c>
    </row>
    <row r="343" spans="1:23" x14ac:dyDescent="0.2">
      <c r="A343">
        <v>4.0899999999999999E-2</v>
      </c>
      <c r="B343">
        <v>7</v>
      </c>
      <c r="C343">
        <v>4</v>
      </c>
      <c r="D343">
        <v>0.151</v>
      </c>
      <c r="E343">
        <v>-4.5140000000000002</v>
      </c>
      <c r="F343">
        <v>214067</v>
      </c>
      <c r="G343">
        <v>0.64</v>
      </c>
      <c r="H343">
        <v>213</v>
      </c>
      <c r="I343">
        <v>0.54800000000000004</v>
      </c>
      <c r="J343">
        <v>6.0600000000000001E-2</v>
      </c>
      <c r="K343" t="s">
        <v>716</v>
      </c>
      <c r="L343">
        <v>3</v>
      </c>
      <c r="M343">
        <v>0.873</v>
      </c>
      <c r="N343">
        <v>99.897999999999996</v>
      </c>
      <c r="O343">
        <v>1.5900000000000001E-3</v>
      </c>
      <c r="P343">
        <v>1</v>
      </c>
      <c r="Q343">
        <v>4</v>
      </c>
      <c r="R343" t="s">
        <v>717</v>
      </c>
      <c r="S343" t="s">
        <v>718</v>
      </c>
      <c r="T343">
        <f>I343*-0.5+M343*0.5</f>
        <v>0.16249999999999998</v>
      </c>
      <c r="U343">
        <f>I343*0.7+M343*-0.25+D343*-0.25</f>
        <v>0.12759999999999999</v>
      </c>
      <c r="V343">
        <f>J343*0.5+I343*-0.5</f>
        <v>-0.24370000000000003</v>
      </c>
      <c r="W343">
        <f>M343*0.5+G343*0.25+I343*0.25</f>
        <v>0.73350000000000004</v>
      </c>
    </row>
    <row r="344" spans="1:23" x14ac:dyDescent="0.2">
      <c r="A344">
        <v>2.4799999999999999E-2</v>
      </c>
      <c r="B344">
        <v>10</v>
      </c>
      <c r="C344">
        <v>4</v>
      </c>
      <c r="D344">
        <v>0.13400000000000001</v>
      </c>
      <c r="E344">
        <v>-6.7329999999999997</v>
      </c>
      <c r="F344">
        <v>238560</v>
      </c>
      <c r="G344">
        <v>0.53600000000000003</v>
      </c>
      <c r="H344">
        <v>234</v>
      </c>
      <c r="I344">
        <v>0.22700000000000001</v>
      </c>
      <c r="J344">
        <v>5.3699999999999998E-2</v>
      </c>
      <c r="K344" t="s">
        <v>1305</v>
      </c>
      <c r="L344">
        <v>14</v>
      </c>
      <c r="M344">
        <v>0.55000000000000004</v>
      </c>
      <c r="N344">
        <v>144.018</v>
      </c>
      <c r="O344">
        <v>0</v>
      </c>
      <c r="P344">
        <v>0</v>
      </c>
      <c r="Q344">
        <v>20</v>
      </c>
      <c r="R344" t="s">
        <v>454</v>
      </c>
      <c r="S344" t="s">
        <v>1306</v>
      </c>
      <c r="T344">
        <f>I344*-0.5+M344*0.5</f>
        <v>0.16150000000000003</v>
      </c>
      <c r="U344">
        <f>I344*0.7+M344*-0.25+D344*-0.25</f>
        <v>-1.2100000000000027E-2</v>
      </c>
      <c r="V344">
        <f>J344*0.5+I344*-0.5</f>
        <v>-8.6650000000000005E-2</v>
      </c>
      <c r="W344">
        <f>M344*0.5+G344*0.25+I344*0.25</f>
        <v>0.46575000000000005</v>
      </c>
    </row>
    <row r="345" spans="1:23" x14ac:dyDescent="0.2">
      <c r="A345">
        <v>0.36099999999999999</v>
      </c>
      <c r="B345">
        <v>2</v>
      </c>
      <c r="C345">
        <v>4</v>
      </c>
      <c r="D345">
        <v>0.312</v>
      </c>
      <c r="E345">
        <v>-4.7450000000000001</v>
      </c>
      <c r="F345">
        <v>231293</v>
      </c>
      <c r="G345">
        <v>0.51100000000000001</v>
      </c>
      <c r="H345">
        <v>226</v>
      </c>
      <c r="I345">
        <v>0.49099999999999999</v>
      </c>
      <c r="J345">
        <v>0.19</v>
      </c>
      <c r="K345" t="s">
        <v>1307</v>
      </c>
      <c r="L345">
        <v>23</v>
      </c>
      <c r="M345">
        <v>0.81299999999999994</v>
      </c>
      <c r="N345">
        <v>210.87700000000001</v>
      </c>
      <c r="O345">
        <v>0</v>
      </c>
      <c r="P345">
        <v>1</v>
      </c>
      <c r="Q345">
        <v>3</v>
      </c>
      <c r="R345" t="s">
        <v>1308</v>
      </c>
      <c r="S345" t="s">
        <v>1309</v>
      </c>
      <c r="T345">
        <f>I345*-0.5+M345*0.5</f>
        <v>0.16099999999999998</v>
      </c>
      <c r="U345">
        <f>I345*0.7+M345*-0.25+D345*-0.25</f>
        <v>6.2449999999999964E-2</v>
      </c>
      <c r="V345">
        <f>J345*0.5+I345*-0.5</f>
        <v>-0.15049999999999999</v>
      </c>
      <c r="W345">
        <f>M345*0.5+G345*0.25+I345*0.25</f>
        <v>0.65700000000000003</v>
      </c>
    </row>
    <row r="346" spans="1:23" x14ac:dyDescent="0.2">
      <c r="A346">
        <v>0.157</v>
      </c>
      <c r="B346">
        <v>11</v>
      </c>
      <c r="C346">
        <v>4</v>
      </c>
      <c r="D346">
        <v>0.28299999999999997</v>
      </c>
      <c r="E346">
        <v>-5.069</v>
      </c>
      <c r="F346">
        <v>260253</v>
      </c>
      <c r="G346">
        <v>0.59</v>
      </c>
      <c r="H346">
        <v>259</v>
      </c>
      <c r="I346">
        <v>0.495</v>
      </c>
      <c r="J346">
        <v>4.8999999999999998E-3</v>
      </c>
      <c r="K346" t="s">
        <v>667</v>
      </c>
      <c r="L346">
        <v>38</v>
      </c>
      <c r="M346">
        <v>0.81699999999999995</v>
      </c>
      <c r="N346">
        <v>123.895</v>
      </c>
      <c r="O346">
        <v>0</v>
      </c>
      <c r="P346">
        <v>1</v>
      </c>
      <c r="Q346">
        <v>1</v>
      </c>
      <c r="R346" t="s">
        <v>270</v>
      </c>
      <c r="S346" t="s">
        <v>668</v>
      </c>
      <c r="T346">
        <f>I346*-0.5+M346*0.5</f>
        <v>0.16099999999999998</v>
      </c>
      <c r="U346">
        <f>I346*0.7+M346*-0.25+D346*-0.25</f>
        <v>7.1499999999999994E-2</v>
      </c>
      <c r="V346">
        <f>J346*0.5+I346*-0.5</f>
        <v>-0.24504999999999999</v>
      </c>
      <c r="W346">
        <f>M346*0.5+G346*0.25+I346*0.25</f>
        <v>0.67974999999999997</v>
      </c>
    </row>
    <row r="347" spans="1:23" x14ac:dyDescent="0.2">
      <c r="A347">
        <v>0.23200000000000001</v>
      </c>
      <c r="B347">
        <v>5</v>
      </c>
      <c r="C347">
        <v>4</v>
      </c>
      <c r="D347">
        <v>0.122</v>
      </c>
      <c r="E347">
        <v>-5.1829999999999998</v>
      </c>
      <c r="F347">
        <v>214240</v>
      </c>
      <c r="G347">
        <v>0.65600000000000003</v>
      </c>
      <c r="H347">
        <v>213</v>
      </c>
      <c r="I347">
        <v>0.51900000000000002</v>
      </c>
      <c r="J347">
        <v>5.4399999999999997E-2</v>
      </c>
      <c r="K347" t="s">
        <v>759</v>
      </c>
      <c r="L347">
        <v>34</v>
      </c>
      <c r="M347">
        <v>0.84099999999999997</v>
      </c>
      <c r="N347">
        <v>65.024000000000001</v>
      </c>
      <c r="O347">
        <v>0</v>
      </c>
      <c r="P347">
        <v>0</v>
      </c>
      <c r="Q347">
        <v>1</v>
      </c>
      <c r="R347" t="s">
        <v>760</v>
      </c>
      <c r="S347" t="s">
        <v>761</v>
      </c>
      <c r="T347">
        <f>I347*-0.5+M347*0.5</f>
        <v>0.16099999999999998</v>
      </c>
      <c r="U347">
        <f>I347*0.7+M347*-0.25+D347*-0.25</f>
        <v>0.12255000000000002</v>
      </c>
      <c r="V347">
        <f>J347*0.5+I347*-0.5</f>
        <v>-0.23230000000000001</v>
      </c>
      <c r="W347">
        <f>M347*0.5+G347*0.25+I347*0.25</f>
        <v>0.71425000000000005</v>
      </c>
    </row>
    <row r="348" spans="1:23" x14ac:dyDescent="0.2">
      <c r="A348">
        <v>3.6299999999999999E-2</v>
      </c>
      <c r="B348">
        <v>5</v>
      </c>
      <c r="C348">
        <v>4</v>
      </c>
      <c r="D348">
        <v>8.0199999999999994E-2</v>
      </c>
      <c r="E348">
        <v>-5.5869999999999997</v>
      </c>
      <c r="F348">
        <v>214740</v>
      </c>
      <c r="G348">
        <v>0.58399999999999996</v>
      </c>
      <c r="H348">
        <v>213</v>
      </c>
      <c r="I348">
        <v>0.29299999999999998</v>
      </c>
      <c r="J348">
        <v>5.0600000000000003E-3</v>
      </c>
      <c r="K348" t="s">
        <v>1018</v>
      </c>
      <c r="L348">
        <v>56</v>
      </c>
      <c r="M348">
        <v>0.61399999999999999</v>
      </c>
      <c r="N348">
        <v>114.075</v>
      </c>
      <c r="O348" s="1">
        <v>9.7E-5</v>
      </c>
      <c r="P348">
        <v>0</v>
      </c>
      <c r="Q348">
        <v>7</v>
      </c>
      <c r="R348" t="s">
        <v>397</v>
      </c>
      <c r="S348" t="s">
        <v>1019</v>
      </c>
      <c r="T348">
        <f>I348*-0.5+M348*0.5</f>
        <v>0.1605</v>
      </c>
      <c r="U348">
        <f>I348*0.7+M348*-0.25+D348*-0.25</f>
        <v>3.1549999999999981E-2</v>
      </c>
      <c r="V348">
        <f>J348*0.5+I348*-0.5</f>
        <v>-0.14396999999999999</v>
      </c>
      <c r="W348">
        <f>M348*0.5+G348*0.25+I348*0.25</f>
        <v>0.52625</v>
      </c>
    </row>
    <row r="349" spans="1:23" x14ac:dyDescent="0.2">
      <c r="A349">
        <v>8.8200000000000001E-2</v>
      </c>
      <c r="B349">
        <v>11</v>
      </c>
      <c r="C349">
        <v>4</v>
      </c>
      <c r="D349">
        <v>7.3300000000000004E-2</v>
      </c>
      <c r="E349">
        <v>-4.7160000000000002</v>
      </c>
      <c r="F349">
        <v>192376</v>
      </c>
      <c r="G349">
        <v>0.88500000000000001</v>
      </c>
      <c r="H349">
        <v>189</v>
      </c>
      <c r="I349">
        <v>0.48099999999999998</v>
      </c>
      <c r="J349">
        <v>0.22500000000000001</v>
      </c>
      <c r="K349" t="s">
        <v>1530</v>
      </c>
      <c r="L349">
        <v>57</v>
      </c>
      <c r="M349">
        <v>0.80100000000000005</v>
      </c>
      <c r="N349">
        <v>95.010999999999996</v>
      </c>
      <c r="O349" s="1">
        <v>1.6500000000000001E-6</v>
      </c>
      <c r="P349">
        <v>0</v>
      </c>
      <c r="Q349">
        <v>10</v>
      </c>
      <c r="R349" t="s">
        <v>1531</v>
      </c>
      <c r="S349" t="s">
        <v>1532</v>
      </c>
      <c r="T349">
        <f>I349*-0.5+M349*0.5</f>
        <v>0.16000000000000003</v>
      </c>
      <c r="U349">
        <f>I349*0.7+M349*-0.25+D349*-0.25</f>
        <v>0.11812499999999992</v>
      </c>
      <c r="V349">
        <f>J349*0.5+I349*-0.5</f>
        <v>-0.128</v>
      </c>
      <c r="W349">
        <f>M349*0.5+G349*0.25+I349*0.25</f>
        <v>0.74199999999999999</v>
      </c>
    </row>
    <row r="350" spans="1:23" x14ac:dyDescent="0.2">
      <c r="A350">
        <v>0.1</v>
      </c>
      <c r="B350">
        <v>9</v>
      </c>
      <c r="C350">
        <v>4</v>
      </c>
      <c r="D350">
        <v>0.13600000000000001</v>
      </c>
      <c r="E350">
        <v>-3.9390000000000001</v>
      </c>
      <c r="F350">
        <v>226987</v>
      </c>
      <c r="G350">
        <v>0.56100000000000005</v>
      </c>
      <c r="H350">
        <v>225</v>
      </c>
      <c r="I350">
        <v>0.51600000000000001</v>
      </c>
      <c r="J350">
        <v>5.2499999999999998E-2</v>
      </c>
      <c r="K350" t="s">
        <v>779</v>
      </c>
      <c r="L350">
        <v>47</v>
      </c>
      <c r="M350">
        <v>0.83599999999999997</v>
      </c>
      <c r="N350">
        <v>127.923</v>
      </c>
      <c r="O350">
        <v>0</v>
      </c>
      <c r="P350">
        <v>1</v>
      </c>
      <c r="Q350">
        <v>10</v>
      </c>
      <c r="R350" t="s">
        <v>734</v>
      </c>
      <c r="S350" t="s">
        <v>780</v>
      </c>
      <c r="T350">
        <f>I350*-0.5+M350*0.5</f>
        <v>0.15999999999999998</v>
      </c>
      <c r="U350">
        <f>I350*0.7+M350*-0.25+D350*-0.25</f>
        <v>0.11819999999999997</v>
      </c>
      <c r="V350">
        <f>J350*0.5+I350*-0.5</f>
        <v>-0.23175000000000001</v>
      </c>
      <c r="W350">
        <f>M350*0.5+G350*0.25+I350*0.25</f>
        <v>0.68725000000000003</v>
      </c>
    </row>
    <row r="351" spans="1:23" x14ac:dyDescent="0.2">
      <c r="A351">
        <v>6.9699999999999998E-2</v>
      </c>
      <c r="B351">
        <v>4</v>
      </c>
      <c r="C351">
        <v>4</v>
      </c>
      <c r="D351">
        <v>0.111</v>
      </c>
      <c r="E351">
        <v>-2.8170000000000002</v>
      </c>
      <c r="F351">
        <v>228360</v>
      </c>
      <c r="G351">
        <v>0.38500000000000001</v>
      </c>
      <c r="H351">
        <v>226</v>
      </c>
      <c r="I351">
        <v>0.54800000000000004</v>
      </c>
      <c r="J351">
        <v>4.0000000000000001E-3</v>
      </c>
      <c r="K351" t="s">
        <v>603</v>
      </c>
      <c r="L351">
        <v>54</v>
      </c>
      <c r="M351">
        <v>0.86599999999999999</v>
      </c>
      <c r="N351">
        <v>176.01400000000001</v>
      </c>
      <c r="O351">
        <v>0</v>
      </c>
      <c r="P351">
        <v>0</v>
      </c>
      <c r="Q351">
        <v>2</v>
      </c>
      <c r="R351" t="s">
        <v>222</v>
      </c>
      <c r="S351" t="s">
        <v>604</v>
      </c>
      <c r="T351">
        <f>I351*-0.5+M351*0.5</f>
        <v>0.15899999999999997</v>
      </c>
      <c r="U351">
        <f>I351*0.7+M351*-0.25+D351*-0.25</f>
        <v>0.13935</v>
      </c>
      <c r="V351">
        <f>J351*0.5+I351*-0.5</f>
        <v>-0.27200000000000002</v>
      </c>
      <c r="W351">
        <f>M351*0.5+G351*0.25+I351*0.25</f>
        <v>0.66625000000000001</v>
      </c>
    </row>
    <row r="352" spans="1:23" x14ac:dyDescent="0.2">
      <c r="A352">
        <v>0.307</v>
      </c>
      <c r="B352">
        <v>4</v>
      </c>
      <c r="C352">
        <v>4</v>
      </c>
      <c r="D352">
        <v>0.33400000000000002</v>
      </c>
      <c r="E352">
        <v>-3.6339999999999999</v>
      </c>
      <c r="F352">
        <v>221587</v>
      </c>
      <c r="G352">
        <v>0.377</v>
      </c>
      <c r="H352">
        <v>222</v>
      </c>
      <c r="I352">
        <v>0.58699999999999997</v>
      </c>
      <c r="J352">
        <v>7.4700000000000003E-2</v>
      </c>
      <c r="K352" t="s">
        <v>728</v>
      </c>
      <c r="L352">
        <v>13</v>
      </c>
      <c r="M352">
        <v>0.90400000000000003</v>
      </c>
      <c r="N352">
        <v>200.566</v>
      </c>
      <c r="O352">
        <v>0</v>
      </c>
      <c r="P352">
        <v>0</v>
      </c>
      <c r="Q352">
        <v>12</v>
      </c>
      <c r="R352" t="s">
        <v>729</v>
      </c>
      <c r="S352" t="s">
        <v>730</v>
      </c>
      <c r="T352">
        <f>I352*-0.5+M352*0.5</f>
        <v>0.15850000000000003</v>
      </c>
      <c r="U352">
        <f>I352*0.7+M352*-0.25+D352*-0.25</f>
        <v>0.10139999999999992</v>
      </c>
      <c r="V352">
        <f>J352*0.5+I352*-0.5</f>
        <v>-0.25614999999999999</v>
      </c>
      <c r="W352">
        <f>M352*0.5+G352*0.25+I352*0.25</f>
        <v>0.69300000000000006</v>
      </c>
    </row>
    <row r="353" spans="1:23" x14ac:dyDescent="0.2">
      <c r="A353">
        <v>0.33</v>
      </c>
      <c r="B353">
        <v>10</v>
      </c>
      <c r="C353">
        <v>4</v>
      </c>
      <c r="D353">
        <v>0.51900000000000002</v>
      </c>
      <c r="E353">
        <v>-4.9569999999999999</v>
      </c>
      <c r="F353">
        <v>263373</v>
      </c>
      <c r="G353">
        <v>0.64700000000000002</v>
      </c>
      <c r="H353">
        <v>262</v>
      </c>
      <c r="I353">
        <v>0.60799999999999998</v>
      </c>
      <c r="J353">
        <v>0.25</v>
      </c>
      <c r="K353" t="s">
        <v>1367</v>
      </c>
      <c r="L353">
        <v>37</v>
      </c>
      <c r="M353">
        <v>0.92400000000000004</v>
      </c>
      <c r="N353">
        <v>173.96199999999999</v>
      </c>
      <c r="O353">
        <v>0</v>
      </c>
      <c r="P353">
        <v>1</v>
      </c>
      <c r="Q353">
        <v>1</v>
      </c>
      <c r="R353" t="s">
        <v>1368</v>
      </c>
      <c r="S353" t="s">
        <v>1369</v>
      </c>
      <c r="T353">
        <f>I353*-0.5+M353*0.5</f>
        <v>0.15800000000000003</v>
      </c>
      <c r="U353">
        <f>I353*0.7+M353*-0.25+D353*-0.25</f>
        <v>6.4849999999999963E-2</v>
      </c>
      <c r="V353">
        <f>J353*0.5+I353*-0.5</f>
        <v>-0.17899999999999999</v>
      </c>
      <c r="W353">
        <f>M353*0.5+G353*0.25+I353*0.25</f>
        <v>0.77575000000000005</v>
      </c>
    </row>
    <row r="354" spans="1:23" x14ac:dyDescent="0.2">
      <c r="A354">
        <v>0.189</v>
      </c>
      <c r="B354">
        <v>11</v>
      </c>
      <c r="C354">
        <v>3</v>
      </c>
      <c r="D354">
        <v>4.9200000000000001E-2</v>
      </c>
      <c r="E354">
        <v>-6.444</v>
      </c>
      <c r="F354">
        <v>254493</v>
      </c>
      <c r="G354">
        <v>0.40600000000000003</v>
      </c>
      <c r="H354">
        <v>249</v>
      </c>
      <c r="I354">
        <v>0.44900000000000001</v>
      </c>
      <c r="J354">
        <v>0.47599999999999998</v>
      </c>
      <c r="K354" t="s">
        <v>2347</v>
      </c>
      <c r="L354">
        <v>10</v>
      </c>
      <c r="M354">
        <v>0.76500000000000001</v>
      </c>
      <c r="N354">
        <v>101.95399999999999</v>
      </c>
      <c r="O354">
        <v>0</v>
      </c>
      <c r="P354">
        <v>0</v>
      </c>
      <c r="Q354">
        <v>13</v>
      </c>
      <c r="R354" t="s">
        <v>2348</v>
      </c>
      <c r="S354" t="s">
        <v>2349</v>
      </c>
      <c r="T354">
        <f>I354*-0.5+M354*0.5</f>
        <v>0.158</v>
      </c>
      <c r="U354">
        <f>I354*0.7+M354*-0.25+D354*-0.25</f>
        <v>0.11074999999999996</v>
      </c>
      <c r="V354">
        <f>J354*0.5+I354*-0.5</f>
        <v>1.3499999999999984E-2</v>
      </c>
      <c r="W354">
        <f>M354*0.5+G354*0.25+I354*0.25</f>
        <v>0.59624999999999995</v>
      </c>
    </row>
    <row r="355" spans="1:23" x14ac:dyDescent="0.2">
      <c r="A355">
        <v>3.9E-2</v>
      </c>
      <c r="B355">
        <v>2</v>
      </c>
      <c r="C355">
        <v>4</v>
      </c>
      <c r="D355">
        <v>0.11799999999999999</v>
      </c>
      <c r="E355">
        <v>-5.0129999999999999</v>
      </c>
      <c r="F355">
        <v>272213</v>
      </c>
      <c r="G355">
        <v>0.47299999999999998</v>
      </c>
      <c r="H355">
        <v>268</v>
      </c>
      <c r="I355">
        <v>0.51700000000000002</v>
      </c>
      <c r="J355">
        <v>3.6900000000000001E-3</v>
      </c>
      <c r="K355" t="s">
        <v>654</v>
      </c>
      <c r="L355">
        <v>40</v>
      </c>
      <c r="M355">
        <v>0.83299999999999996</v>
      </c>
      <c r="N355">
        <v>157.012</v>
      </c>
      <c r="O355">
        <v>0</v>
      </c>
      <c r="P355">
        <v>1</v>
      </c>
      <c r="Q355">
        <v>14</v>
      </c>
      <c r="R355" t="s">
        <v>655</v>
      </c>
      <c r="S355" t="s">
        <v>656</v>
      </c>
      <c r="T355">
        <f>I355*-0.5+M355*0.5</f>
        <v>0.15799999999999997</v>
      </c>
      <c r="U355">
        <f>I355*0.7+M355*-0.25+D355*-0.25</f>
        <v>0.12415000000000001</v>
      </c>
      <c r="V355">
        <f>J355*0.5+I355*-0.5</f>
        <v>-0.25665500000000002</v>
      </c>
      <c r="W355">
        <f>M355*0.5+G355*0.25+I355*0.25</f>
        <v>0.66399999999999992</v>
      </c>
    </row>
    <row r="356" spans="1:23" x14ac:dyDescent="0.2">
      <c r="A356">
        <v>6.1400000000000003E-2</v>
      </c>
      <c r="B356">
        <v>0</v>
      </c>
      <c r="C356">
        <v>4</v>
      </c>
      <c r="D356">
        <v>0.14000000000000001</v>
      </c>
      <c r="E356">
        <v>-6.2350000000000003</v>
      </c>
      <c r="F356">
        <v>291893</v>
      </c>
      <c r="G356">
        <v>0.79400000000000004</v>
      </c>
      <c r="H356">
        <v>291</v>
      </c>
      <c r="I356">
        <v>0.33100000000000002</v>
      </c>
      <c r="J356">
        <v>0.13</v>
      </c>
      <c r="K356" t="s">
        <v>1472</v>
      </c>
      <c r="L356">
        <v>61</v>
      </c>
      <c r="M356">
        <v>0.64600000000000002</v>
      </c>
      <c r="N356">
        <v>145.93100000000001</v>
      </c>
      <c r="O356">
        <v>0</v>
      </c>
      <c r="P356">
        <v>1</v>
      </c>
      <c r="Q356">
        <v>7</v>
      </c>
      <c r="R356" t="s">
        <v>1473</v>
      </c>
      <c r="S356" t="s">
        <v>1474</v>
      </c>
      <c r="T356">
        <f>I356*-0.5+M356*0.5</f>
        <v>0.1575</v>
      </c>
      <c r="U356">
        <f>I356*0.7+M356*-0.25+D356*-0.25</f>
        <v>3.5199999999999981E-2</v>
      </c>
      <c r="V356">
        <f>J356*0.5+I356*-0.5</f>
        <v>-0.10050000000000001</v>
      </c>
      <c r="W356">
        <f>M356*0.5+G356*0.25+I356*0.25</f>
        <v>0.60425000000000006</v>
      </c>
    </row>
    <row r="357" spans="1:23" x14ac:dyDescent="0.2">
      <c r="A357">
        <v>8.0299999999999996E-2</v>
      </c>
      <c r="B357">
        <v>1</v>
      </c>
      <c r="C357">
        <v>4</v>
      </c>
      <c r="D357">
        <v>0.21</v>
      </c>
      <c r="E357">
        <v>-2.1669999999999998</v>
      </c>
      <c r="F357">
        <v>176973</v>
      </c>
      <c r="G357">
        <v>0.58399999999999996</v>
      </c>
      <c r="H357">
        <v>176</v>
      </c>
      <c r="I357">
        <v>0.63400000000000001</v>
      </c>
      <c r="J357">
        <v>0.11899999999999999</v>
      </c>
      <c r="K357" t="s">
        <v>815</v>
      </c>
      <c r="L357">
        <v>41</v>
      </c>
      <c r="M357">
        <v>0.94899999999999995</v>
      </c>
      <c r="N357">
        <v>83.015000000000001</v>
      </c>
      <c r="O357">
        <v>0</v>
      </c>
      <c r="P357">
        <v>0</v>
      </c>
      <c r="Q357">
        <v>17</v>
      </c>
      <c r="R357" t="s">
        <v>816</v>
      </c>
      <c r="S357" t="s">
        <v>817</v>
      </c>
      <c r="T357">
        <f>I357*-0.5+M357*0.5</f>
        <v>0.15749999999999997</v>
      </c>
      <c r="U357">
        <f>I357*0.7+M357*-0.25+D357*-0.25</f>
        <v>0.15404999999999999</v>
      </c>
      <c r="V357">
        <f>J357*0.5+I357*-0.5</f>
        <v>-0.25750000000000001</v>
      </c>
      <c r="W357">
        <f>M357*0.5+G357*0.25+I357*0.25</f>
        <v>0.77899999999999991</v>
      </c>
    </row>
    <row r="358" spans="1:23" x14ac:dyDescent="0.2">
      <c r="A358">
        <v>3.9600000000000003E-2</v>
      </c>
      <c r="B358">
        <v>6</v>
      </c>
      <c r="C358">
        <v>4</v>
      </c>
      <c r="D358">
        <v>9.8500000000000004E-2</v>
      </c>
      <c r="E358">
        <v>-5.968</v>
      </c>
      <c r="F358">
        <v>267227</v>
      </c>
      <c r="G358">
        <v>0.56799999999999995</v>
      </c>
      <c r="H358">
        <v>266</v>
      </c>
      <c r="I358">
        <v>0.46899999999999997</v>
      </c>
      <c r="J358">
        <v>7.9899999999999999E-2</v>
      </c>
      <c r="K358" t="s">
        <v>1004</v>
      </c>
      <c r="L358">
        <v>9</v>
      </c>
      <c r="M358">
        <v>0.78200000000000003</v>
      </c>
      <c r="N358">
        <v>141.94200000000001</v>
      </c>
      <c r="O358">
        <v>0</v>
      </c>
      <c r="P358">
        <v>1</v>
      </c>
      <c r="Q358">
        <v>15</v>
      </c>
      <c r="R358" t="s">
        <v>1005</v>
      </c>
      <c r="S358" t="s">
        <v>1006</v>
      </c>
      <c r="T358">
        <f>I358*-0.5+M358*0.5</f>
        <v>0.15650000000000003</v>
      </c>
      <c r="U358">
        <f>I358*0.7+M358*-0.25+D358*-0.25</f>
        <v>0.10817499999999997</v>
      </c>
      <c r="V358">
        <f>J358*0.5+I358*-0.5</f>
        <v>-0.19455</v>
      </c>
      <c r="W358">
        <f>M358*0.5+G358*0.25+I358*0.25</f>
        <v>0.65024999999999999</v>
      </c>
    </row>
    <row r="359" spans="1:23" x14ac:dyDescent="0.2">
      <c r="A359">
        <v>7.8600000000000003E-2</v>
      </c>
      <c r="B359">
        <v>4</v>
      </c>
      <c r="C359">
        <v>4</v>
      </c>
      <c r="D359">
        <v>0.191</v>
      </c>
      <c r="E359">
        <v>-2.2799999999999998</v>
      </c>
      <c r="F359">
        <v>169866</v>
      </c>
      <c r="G359">
        <v>0.65900000000000003</v>
      </c>
      <c r="H359">
        <v>167</v>
      </c>
      <c r="I359">
        <v>0.59799999999999998</v>
      </c>
      <c r="J359">
        <v>0.154</v>
      </c>
      <c r="K359" t="s">
        <v>1030</v>
      </c>
      <c r="L359">
        <v>53</v>
      </c>
      <c r="M359">
        <v>0.91100000000000003</v>
      </c>
      <c r="N359">
        <v>91.998999999999995</v>
      </c>
      <c r="O359">
        <v>3.0400000000000002E-4</v>
      </c>
      <c r="P359">
        <v>1</v>
      </c>
      <c r="Q359">
        <v>13</v>
      </c>
      <c r="R359" t="s">
        <v>1031</v>
      </c>
      <c r="S359" t="s">
        <v>1032</v>
      </c>
      <c r="T359">
        <f>I359*-0.5+M359*0.5</f>
        <v>0.15650000000000003</v>
      </c>
      <c r="U359">
        <f>I359*0.7+M359*-0.25+D359*-0.25</f>
        <v>0.14309999999999995</v>
      </c>
      <c r="V359">
        <f>J359*0.5+I359*-0.5</f>
        <v>-0.22199999999999998</v>
      </c>
      <c r="W359">
        <f>M359*0.5+G359*0.25+I359*0.25</f>
        <v>0.76974999999999993</v>
      </c>
    </row>
    <row r="360" spans="1:23" x14ac:dyDescent="0.2">
      <c r="A360">
        <v>3.78E-2</v>
      </c>
      <c r="B360">
        <v>7</v>
      </c>
      <c r="C360">
        <v>3</v>
      </c>
      <c r="D360">
        <v>0.35699999999999998</v>
      </c>
      <c r="E360">
        <v>-5.3529999999999998</v>
      </c>
      <c r="F360">
        <v>235947</v>
      </c>
      <c r="G360">
        <v>0.67200000000000004</v>
      </c>
      <c r="H360">
        <v>229</v>
      </c>
      <c r="I360">
        <v>0.29199999999999998</v>
      </c>
      <c r="J360">
        <v>4.99E-2</v>
      </c>
      <c r="K360" t="s">
        <v>1245</v>
      </c>
      <c r="L360">
        <v>59</v>
      </c>
      <c r="M360">
        <v>0.60499999999999998</v>
      </c>
      <c r="N360">
        <v>134.01499999999999</v>
      </c>
      <c r="O360">
        <v>0</v>
      </c>
      <c r="P360">
        <v>1</v>
      </c>
      <c r="Q360">
        <v>6</v>
      </c>
      <c r="R360" t="s">
        <v>720</v>
      </c>
      <c r="S360" t="s">
        <v>1246</v>
      </c>
      <c r="T360">
        <f>I360*-0.5+M360*0.5</f>
        <v>0.1565</v>
      </c>
      <c r="U360">
        <f>I360*0.7+M360*-0.25+D360*-0.25</f>
        <v>-3.6100000000000021E-2</v>
      </c>
      <c r="V360">
        <f>J360*0.5+I360*-0.5</f>
        <v>-0.12104999999999999</v>
      </c>
      <c r="W360">
        <f>M360*0.5+G360*0.25+I360*0.25</f>
        <v>0.54349999999999998</v>
      </c>
    </row>
    <row r="361" spans="1:23" x14ac:dyDescent="0.2">
      <c r="A361">
        <v>2.9700000000000001E-2</v>
      </c>
      <c r="B361">
        <v>3</v>
      </c>
      <c r="C361">
        <v>4</v>
      </c>
      <c r="D361">
        <v>9.4899999999999998E-2</v>
      </c>
      <c r="E361">
        <v>-5.3860000000000001</v>
      </c>
      <c r="F361">
        <v>235907</v>
      </c>
      <c r="G361">
        <v>0.505</v>
      </c>
      <c r="H361">
        <v>235</v>
      </c>
      <c r="I361">
        <v>0.45</v>
      </c>
      <c r="J361">
        <v>0.14000000000000001</v>
      </c>
      <c r="K361" t="s">
        <v>1267</v>
      </c>
      <c r="L361">
        <v>29</v>
      </c>
      <c r="M361">
        <v>0.76300000000000001</v>
      </c>
      <c r="N361">
        <v>156.024</v>
      </c>
      <c r="O361">
        <v>0</v>
      </c>
      <c r="P361">
        <v>1</v>
      </c>
      <c r="Q361">
        <v>20</v>
      </c>
      <c r="R361" t="s">
        <v>1268</v>
      </c>
      <c r="S361" t="s">
        <v>1269</v>
      </c>
      <c r="T361">
        <f>I361*-0.5+M361*0.5</f>
        <v>0.1565</v>
      </c>
      <c r="U361">
        <f>I361*0.7+M361*-0.25+D361*-0.25</f>
        <v>0.100525</v>
      </c>
      <c r="V361">
        <f>J361*0.5+I361*-0.5</f>
        <v>-0.155</v>
      </c>
      <c r="W361">
        <f>M361*0.5+G361*0.25+I361*0.25</f>
        <v>0.62025000000000008</v>
      </c>
    </row>
    <row r="362" spans="1:23" x14ac:dyDescent="0.2">
      <c r="A362">
        <v>0.10299999999999999</v>
      </c>
      <c r="B362">
        <v>4</v>
      </c>
      <c r="C362">
        <v>4</v>
      </c>
      <c r="D362">
        <v>0.109</v>
      </c>
      <c r="E362">
        <v>-6.2969999999999997</v>
      </c>
      <c r="F362">
        <v>287480</v>
      </c>
      <c r="G362">
        <v>0.73</v>
      </c>
      <c r="H362">
        <v>287</v>
      </c>
      <c r="I362">
        <v>0.40300000000000002</v>
      </c>
      <c r="J362">
        <v>1.09E-2</v>
      </c>
      <c r="K362" t="s">
        <v>877</v>
      </c>
      <c r="L362">
        <v>25</v>
      </c>
      <c r="M362">
        <v>0.71499999999999997</v>
      </c>
      <c r="N362">
        <v>81.998000000000005</v>
      </c>
      <c r="O362">
        <v>0</v>
      </c>
      <c r="P362">
        <v>1</v>
      </c>
      <c r="Q362">
        <v>13</v>
      </c>
      <c r="R362" t="s">
        <v>878</v>
      </c>
      <c r="S362" t="s">
        <v>879</v>
      </c>
      <c r="T362">
        <f>I362*-0.5+M362*0.5</f>
        <v>0.15599999999999997</v>
      </c>
      <c r="U362">
        <f>I362*0.7+M362*-0.25+D362*-0.25</f>
        <v>7.6100000000000029E-2</v>
      </c>
      <c r="V362">
        <f>J362*0.5+I362*-0.5</f>
        <v>-0.19605</v>
      </c>
      <c r="W362">
        <f>M362*0.5+G362*0.25+I362*0.25</f>
        <v>0.64075000000000004</v>
      </c>
    </row>
    <row r="363" spans="1:23" x14ac:dyDescent="0.2">
      <c r="A363">
        <v>7.3499999999999996E-2</v>
      </c>
      <c r="B363">
        <v>5</v>
      </c>
      <c r="C363">
        <v>5</v>
      </c>
      <c r="D363">
        <v>8.2000000000000003E-2</v>
      </c>
      <c r="E363">
        <v>-5.7690000000000001</v>
      </c>
      <c r="F363">
        <v>278373</v>
      </c>
      <c r="G363">
        <v>0.38800000000000001</v>
      </c>
      <c r="H363">
        <v>278</v>
      </c>
      <c r="I363">
        <v>0.38300000000000001</v>
      </c>
      <c r="J363">
        <v>0.11799999999999999</v>
      </c>
      <c r="K363" t="s">
        <v>1310</v>
      </c>
      <c r="L363">
        <v>46</v>
      </c>
      <c r="M363">
        <v>0.69399999999999995</v>
      </c>
      <c r="N363">
        <v>145.434</v>
      </c>
      <c r="O363">
        <v>2.9300000000000002E-4</v>
      </c>
      <c r="P363">
        <v>1</v>
      </c>
      <c r="Q363">
        <v>10</v>
      </c>
      <c r="R363" t="s">
        <v>1311</v>
      </c>
      <c r="S363" t="s">
        <v>1312</v>
      </c>
      <c r="T363">
        <f>I363*-0.5+M363*0.5</f>
        <v>0.15549999999999997</v>
      </c>
      <c r="U363">
        <f>I363*0.7+M363*-0.25+D363*-0.25</f>
        <v>7.4100000000000013E-2</v>
      </c>
      <c r="V363">
        <f>J363*0.5+I363*-0.5</f>
        <v>-0.13250000000000001</v>
      </c>
      <c r="W363">
        <f>M363*0.5+G363*0.25+I363*0.25</f>
        <v>0.53974999999999995</v>
      </c>
    </row>
    <row r="364" spans="1:23" x14ac:dyDescent="0.2">
      <c r="A364">
        <v>0.108</v>
      </c>
      <c r="B364">
        <v>11</v>
      </c>
      <c r="C364">
        <v>4</v>
      </c>
      <c r="D364">
        <v>0.22500000000000001</v>
      </c>
      <c r="E364">
        <v>-5.3170000000000002</v>
      </c>
      <c r="F364">
        <v>240093</v>
      </c>
      <c r="G364">
        <v>0.53600000000000003</v>
      </c>
      <c r="H364">
        <v>239</v>
      </c>
      <c r="I364">
        <v>0.63400000000000001</v>
      </c>
      <c r="J364">
        <v>0.39900000000000002</v>
      </c>
      <c r="K364" t="s">
        <v>1919</v>
      </c>
      <c r="L364">
        <v>21</v>
      </c>
      <c r="M364">
        <v>0.94299999999999995</v>
      </c>
      <c r="N364">
        <v>123.759</v>
      </c>
      <c r="O364" s="1">
        <v>2.27E-5</v>
      </c>
      <c r="P364">
        <v>0</v>
      </c>
      <c r="Q364">
        <v>19</v>
      </c>
      <c r="R364" t="s">
        <v>881</v>
      </c>
      <c r="S364" t="s">
        <v>1920</v>
      </c>
      <c r="T364">
        <f>I364*-0.5+M364*0.5</f>
        <v>0.15449999999999997</v>
      </c>
      <c r="U364">
        <f>I364*0.7+M364*-0.25+D364*-0.25</f>
        <v>0.15179999999999999</v>
      </c>
      <c r="V364">
        <f>J364*0.5+I364*-0.5</f>
        <v>-0.11749999999999999</v>
      </c>
      <c r="W364">
        <f>M364*0.5+G364*0.25+I364*0.25</f>
        <v>0.7639999999999999</v>
      </c>
    </row>
    <row r="365" spans="1:23" x14ac:dyDescent="0.2">
      <c r="A365">
        <v>6.88E-2</v>
      </c>
      <c r="B365">
        <v>7</v>
      </c>
      <c r="C365">
        <v>4</v>
      </c>
      <c r="D365">
        <v>9.6299999999999997E-2</v>
      </c>
      <c r="E365">
        <v>-7.3460000000000001</v>
      </c>
      <c r="F365">
        <v>252733</v>
      </c>
      <c r="G365">
        <v>0.47899999999999998</v>
      </c>
      <c r="H365">
        <v>249</v>
      </c>
      <c r="I365">
        <v>0.23899999999999999</v>
      </c>
      <c r="J365">
        <v>0.36499999999999999</v>
      </c>
      <c r="K365" t="s">
        <v>2375</v>
      </c>
      <c r="L365">
        <v>50</v>
      </c>
      <c r="M365">
        <v>0.54500000000000004</v>
      </c>
      <c r="N365">
        <v>74.897000000000006</v>
      </c>
      <c r="O365">
        <v>0</v>
      </c>
      <c r="P365">
        <v>1</v>
      </c>
      <c r="Q365">
        <v>15</v>
      </c>
      <c r="R365" t="s">
        <v>2376</v>
      </c>
      <c r="S365" t="s">
        <v>2377</v>
      </c>
      <c r="T365">
        <f>I365*-0.5+M365*0.5</f>
        <v>0.15300000000000002</v>
      </c>
      <c r="U365">
        <f>I365*0.7+M365*-0.25+D365*-0.25</f>
        <v>6.9749999999999673E-3</v>
      </c>
      <c r="V365">
        <f>J365*0.5+I365*-0.5</f>
        <v>6.3E-2</v>
      </c>
      <c r="W365">
        <f>M365*0.5+G365*0.25+I365*0.25</f>
        <v>0.45199999999999996</v>
      </c>
    </row>
    <row r="366" spans="1:23" x14ac:dyDescent="0.2">
      <c r="A366">
        <v>3.4200000000000001E-2</v>
      </c>
      <c r="B366">
        <v>10</v>
      </c>
      <c r="C366">
        <v>4</v>
      </c>
      <c r="D366">
        <v>0.107</v>
      </c>
      <c r="E366">
        <v>-5.032</v>
      </c>
      <c r="F366">
        <v>223813</v>
      </c>
      <c r="G366">
        <v>0.437</v>
      </c>
      <c r="H366">
        <v>222</v>
      </c>
      <c r="I366">
        <v>0.47299999999999998</v>
      </c>
      <c r="J366">
        <v>1.09E-3</v>
      </c>
      <c r="K366" t="s">
        <v>736</v>
      </c>
      <c r="L366">
        <v>10</v>
      </c>
      <c r="M366">
        <v>0.77900000000000003</v>
      </c>
      <c r="N366">
        <v>172.15299999999999</v>
      </c>
      <c r="O366">
        <v>0</v>
      </c>
      <c r="P366">
        <v>1</v>
      </c>
      <c r="Q366">
        <v>20</v>
      </c>
      <c r="R366" t="s">
        <v>38</v>
      </c>
      <c r="S366" t="s">
        <v>737</v>
      </c>
      <c r="T366">
        <f>I366*-0.5+M366*0.5</f>
        <v>0.15300000000000002</v>
      </c>
      <c r="U366">
        <f>I366*0.7+M366*-0.25+D366*-0.25</f>
        <v>0.10959999999999995</v>
      </c>
      <c r="V366">
        <f>J366*0.5+I366*-0.5</f>
        <v>-0.235955</v>
      </c>
      <c r="W366">
        <f>M366*0.5+G366*0.25+I366*0.25</f>
        <v>0.61699999999999999</v>
      </c>
    </row>
    <row r="367" spans="1:23" x14ac:dyDescent="0.2">
      <c r="A367">
        <v>2.7799999999999998E-2</v>
      </c>
      <c r="B367">
        <v>5</v>
      </c>
      <c r="C367">
        <v>4</v>
      </c>
      <c r="D367">
        <v>0.25700000000000001</v>
      </c>
      <c r="E367">
        <v>-6.1920000000000002</v>
      </c>
      <c r="F367">
        <v>249740</v>
      </c>
      <c r="G367">
        <v>0.60199999999999998</v>
      </c>
      <c r="H367">
        <v>246</v>
      </c>
      <c r="I367">
        <v>0.40600000000000003</v>
      </c>
      <c r="J367">
        <v>8.1599999999999999E-4</v>
      </c>
      <c r="K367" t="s">
        <v>872</v>
      </c>
      <c r="L367">
        <v>54</v>
      </c>
      <c r="M367">
        <v>0.71199999999999997</v>
      </c>
      <c r="N367">
        <v>107.983</v>
      </c>
      <c r="O367">
        <v>0.114</v>
      </c>
      <c r="P367">
        <v>0</v>
      </c>
      <c r="Q367">
        <v>18</v>
      </c>
      <c r="R367" t="s">
        <v>873</v>
      </c>
      <c r="S367" t="s">
        <v>874</v>
      </c>
      <c r="T367">
        <f>I367*-0.5+M367*0.5</f>
        <v>0.15299999999999997</v>
      </c>
      <c r="U367">
        <f>I367*0.7+M367*-0.25+D367*-0.25</f>
        <v>4.1950000000000015E-2</v>
      </c>
      <c r="V367">
        <f>J367*0.5+I367*-0.5</f>
        <v>-0.20259200000000002</v>
      </c>
      <c r="W367">
        <f>M367*0.5+G367*0.25+I367*0.25</f>
        <v>0.60799999999999998</v>
      </c>
    </row>
    <row r="368" spans="1:23" x14ac:dyDescent="0.2">
      <c r="A368">
        <v>0.10199999999999999</v>
      </c>
      <c r="B368">
        <v>7</v>
      </c>
      <c r="C368">
        <v>4</v>
      </c>
      <c r="D368">
        <v>0.20899999999999999</v>
      </c>
      <c r="E368">
        <v>-2.4329999999999998</v>
      </c>
      <c r="F368">
        <v>216600</v>
      </c>
      <c r="G368">
        <v>0.56000000000000005</v>
      </c>
      <c r="H368">
        <v>215</v>
      </c>
      <c r="I368">
        <v>0.65300000000000002</v>
      </c>
      <c r="J368">
        <v>7.3800000000000005E-4</v>
      </c>
      <c r="K368" t="s">
        <v>527</v>
      </c>
      <c r="L368">
        <v>25</v>
      </c>
      <c r="M368">
        <v>0.95899999999999996</v>
      </c>
      <c r="N368">
        <v>163.983</v>
      </c>
      <c r="O368">
        <v>2.0599999999999999E-4</v>
      </c>
      <c r="P368">
        <v>1</v>
      </c>
      <c r="Q368">
        <v>2</v>
      </c>
      <c r="R368" t="s">
        <v>528</v>
      </c>
      <c r="S368" t="s">
        <v>529</v>
      </c>
      <c r="T368">
        <f>I368*-0.5+M368*0.5</f>
        <v>0.15299999999999997</v>
      </c>
      <c r="U368">
        <f>I368*0.7+M368*-0.25+D368*-0.25</f>
        <v>0.16510000000000002</v>
      </c>
      <c r="V368">
        <f>J368*0.5+I368*-0.5</f>
        <v>-0.326131</v>
      </c>
      <c r="W368">
        <f>M368*0.5+G368*0.25+I368*0.25</f>
        <v>0.78274999999999995</v>
      </c>
    </row>
    <row r="369" spans="1:23" x14ac:dyDescent="0.2">
      <c r="A369">
        <v>9.7299999999999998E-2</v>
      </c>
      <c r="B369">
        <v>7</v>
      </c>
      <c r="C369">
        <v>4</v>
      </c>
      <c r="D369">
        <v>0.17899999999999999</v>
      </c>
      <c r="E369">
        <v>-5.18</v>
      </c>
      <c r="F369">
        <v>234693</v>
      </c>
      <c r="G369">
        <v>0.61599999999999999</v>
      </c>
      <c r="H369">
        <v>234</v>
      </c>
      <c r="I369">
        <v>0.55800000000000005</v>
      </c>
      <c r="J369">
        <v>1.17E-3</v>
      </c>
      <c r="K369" t="s">
        <v>628</v>
      </c>
      <c r="L369">
        <v>43</v>
      </c>
      <c r="M369">
        <v>0.86199999999999999</v>
      </c>
      <c r="N369">
        <v>127.992</v>
      </c>
      <c r="O369">
        <v>0</v>
      </c>
      <c r="P369">
        <v>0</v>
      </c>
      <c r="Q369">
        <v>7</v>
      </c>
      <c r="R369" t="s">
        <v>629</v>
      </c>
      <c r="S369" t="s">
        <v>630</v>
      </c>
      <c r="T369">
        <f>I369*-0.5+M369*0.5</f>
        <v>0.15199999999999997</v>
      </c>
      <c r="U369">
        <f>I369*0.7+M369*-0.25+D369*-0.25</f>
        <v>0.13035000000000002</v>
      </c>
      <c r="V369">
        <f>J369*0.5+I369*-0.5</f>
        <v>-0.27841500000000002</v>
      </c>
      <c r="W369">
        <f>M369*0.5+G369*0.25+I369*0.25</f>
        <v>0.72449999999999992</v>
      </c>
    </row>
    <row r="370" spans="1:23" x14ac:dyDescent="0.2">
      <c r="A370">
        <v>3.6900000000000002E-2</v>
      </c>
      <c r="B370">
        <v>7</v>
      </c>
      <c r="C370">
        <v>4</v>
      </c>
      <c r="D370">
        <v>8.1299999999999997E-2</v>
      </c>
      <c r="E370">
        <v>-5.15</v>
      </c>
      <c r="F370">
        <v>232520</v>
      </c>
      <c r="G370">
        <v>0.61799999999999999</v>
      </c>
      <c r="H370">
        <v>230</v>
      </c>
      <c r="I370">
        <v>0.47</v>
      </c>
      <c r="J370">
        <v>6.2399999999999999E-4</v>
      </c>
      <c r="K370" t="s">
        <v>762</v>
      </c>
      <c r="L370">
        <v>30</v>
      </c>
      <c r="M370">
        <v>0.77300000000000002</v>
      </c>
      <c r="N370">
        <v>113.164</v>
      </c>
      <c r="O370">
        <v>0</v>
      </c>
      <c r="P370">
        <v>1</v>
      </c>
      <c r="Q370">
        <v>4</v>
      </c>
      <c r="R370" t="s">
        <v>763</v>
      </c>
      <c r="S370" t="s">
        <v>764</v>
      </c>
      <c r="T370">
        <f>I370*-0.5+M370*0.5</f>
        <v>0.15150000000000002</v>
      </c>
      <c r="U370">
        <f>I370*0.7+M370*-0.25+D370*-0.25</f>
        <v>0.11542499999999996</v>
      </c>
      <c r="V370">
        <f>J370*0.5+I370*-0.5</f>
        <v>-0.23468799999999998</v>
      </c>
      <c r="W370">
        <f>M370*0.5+G370*0.25+I370*0.25</f>
        <v>0.65850000000000009</v>
      </c>
    </row>
    <row r="371" spans="1:23" x14ac:dyDescent="0.2">
      <c r="A371">
        <v>6.9599999999999995E-2</v>
      </c>
      <c r="B371">
        <v>11</v>
      </c>
      <c r="C371">
        <v>4</v>
      </c>
      <c r="D371">
        <v>7.0999999999999994E-2</v>
      </c>
      <c r="E371">
        <v>-3.15</v>
      </c>
      <c r="F371">
        <v>226867</v>
      </c>
      <c r="G371">
        <v>0.51</v>
      </c>
      <c r="H371">
        <v>229</v>
      </c>
      <c r="I371">
        <v>0.59499999999999997</v>
      </c>
      <c r="J371">
        <v>8.3199999999999996E-2</v>
      </c>
      <c r="K371" t="s">
        <v>829</v>
      </c>
      <c r="L371">
        <v>51</v>
      </c>
      <c r="M371">
        <v>0.89800000000000002</v>
      </c>
      <c r="N371">
        <v>144.05600000000001</v>
      </c>
      <c r="O371">
        <v>0</v>
      </c>
      <c r="P371">
        <v>1</v>
      </c>
      <c r="Q371">
        <v>16</v>
      </c>
      <c r="R371" t="s">
        <v>766</v>
      </c>
      <c r="S371" t="s">
        <v>830</v>
      </c>
      <c r="T371">
        <f>I371*-0.5+M371*0.5</f>
        <v>0.15150000000000002</v>
      </c>
      <c r="U371">
        <f>I371*0.7+M371*-0.25+D371*-0.25</f>
        <v>0.17424999999999999</v>
      </c>
      <c r="V371">
        <f>J371*0.5+I371*-0.5</f>
        <v>-0.25590000000000002</v>
      </c>
      <c r="W371">
        <f>M371*0.5+G371*0.25+I371*0.25</f>
        <v>0.72524999999999995</v>
      </c>
    </row>
    <row r="372" spans="1:23" x14ac:dyDescent="0.2">
      <c r="A372">
        <v>0.13900000000000001</v>
      </c>
      <c r="B372">
        <v>0</v>
      </c>
      <c r="C372">
        <v>4</v>
      </c>
      <c r="D372">
        <v>0.11</v>
      </c>
      <c r="E372">
        <v>-5.7510000000000003</v>
      </c>
      <c r="F372">
        <v>230227</v>
      </c>
      <c r="G372">
        <v>0.59099999999999997</v>
      </c>
      <c r="H372">
        <v>225</v>
      </c>
      <c r="I372">
        <v>0.439</v>
      </c>
      <c r="J372">
        <v>2.9399999999999999E-2</v>
      </c>
      <c r="K372" t="s">
        <v>935</v>
      </c>
      <c r="L372">
        <v>61</v>
      </c>
      <c r="M372">
        <v>0.74099999999999999</v>
      </c>
      <c r="N372">
        <v>97.048000000000002</v>
      </c>
      <c r="O372">
        <v>0</v>
      </c>
      <c r="P372">
        <v>1</v>
      </c>
      <c r="Q372">
        <v>3</v>
      </c>
      <c r="R372" t="s">
        <v>459</v>
      </c>
      <c r="S372" t="s">
        <v>936</v>
      </c>
      <c r="T372">
        <f>I372*-0.5+M372*0.5</f>
        <v>0.151</v>
      </c>
      <c r="U372">
        <f>I372*0.7+M372*-0.25+D372*-0.25</f>
        <v>9.4549999999999967E-2</v>
      </c>
      <c r="V372">
        <f>J372*0.5+I372*-0.5</f>
        <v>-0.20480000000000001</v>
      </c>
      <c r="W372">
        <f>M372*0.5+G372*0.25+I372*0.25</f>
        <v>0.628</v>
      </c>
    </row>
    <row r="373" spans="1:23" x14ac:dyDescent="0.2">
      <c r="A373">
        <v>0.20300000000000001</v>
      </c>
      <c r="B373">
        <v>11</v>
      </c>
      <c r="C373">
        <v>4</v>
      </c>
      <c r="D373">
        <v>0.27</v>
      </c>
      <c r="E373">
        <v>-5.9880000000000004</v>
      </c>
      <c r="F373">
        <v>195199</v>
      </c>
      <c r="G373">
        <v>0.4</v>
      </c>
      <c r="H373">
        <v>194</v>
      </c>
      <c r="I373">
        <v>0.56699999999999995</v>
      </c>
      <c r="J373">
        <v>1.12E-2</v>
      </c>
      <c r="K373" t="s">
        <v>674</v>
      </c>
      <c r="L373">
        <v>57</v>
      </c>
      <c r="M373">
        <v>0.86799999999999999</v>
      </c>
      <c r="N373">
        <v>180.261</v>
      </c>
      <c r="O373">
        <v>6.8500000000000005E-2</v>
      </c>
      <c r="P373">
        <v>0</v>
      </c>
      <c r="Q373">
        <v>14</v>
      </c>
      <c r="R373" t="s">
        <v>675</v>
      </c>
      <c r="S373" t="s">
        <v>676</v>
      </c>
      <c r="T373">
        <f>I373*-0.5+M373*0.5</f>
        <v>0.15050000000000002</v>
      </c>
      <c r="U373">
        <f>I373*0.7+M373*-0.25+D373*-0.25</f>
        <v>0.11239999999999992</v>
      </c>
      <c r="V373">
        <f>J373*0.5+I373*-0.5</f>
        <v>-0.27789999999999998</v>
      </c>
      <c r="W373">
        <f>M373*0.5+G373*0.25+I373*0.25</f>
        <v>0.67575000000000007</v>
      </c>
    </row>
    <row r="374" spans="1:23" x14ac:dyDescent="0.2">
      <c r="A374">
        <v>6.3600000000000004E-2</v>
      </c>
      <c r="B374">
        <v>4</v>
      </c>
      <c r="C374">
        <v>4</v>
      </c>
      <c r="D374">
        <v>8.2199999999999995E-2</v>
      </c>
      <c r="E374">
        <v>-5.7359999999999998</v>
      </c>
      <c r="F374">
        <v>238200</v>
      </c>
      <c r="G374">
        <v>0.40600000000000003</v>
      </c>
      <c r="H374">
        <v>226</v>
      </c>
      <c r="I374">
        <v>0.63600000000000001</v>
      </c>
      <c r="J374">
        <v>1.03E-4</v>
      </c>
      <c r="K374" t="s">
        <v>541</v>
      </c>
      <c r="L374">
        <v>34</v>
      </c>
      <c r="M374">
        <v>0.93700000000000006</v>
      </c>
      <c r="N374">
        <v>151.97399999999999</v>
      </c>
      <c r="O374">
        <v>0</v>
      </c>
      <c r="P374">
        <v>1</v>
      </c>
      <c r="Q374">
        <v>19</v>
      </c>
      <c r="R374" t="s">
        <v>542</v>
      </c>
      <c r="S374" t="s">
        <v>543</v>
      </c>
      <c r="T374">
        <f>I374*-0.5+M374*0.5</f>
        <v>0.15050000000000002</v>
      </c>
      <c r="U374">
        <f>I374*0.7+M374*-0.25+D374*-0.25</f>
        <v>0.19039999999999996</v>
      </c>
      <c r="V374">
        <f>J374*0.5+I374*-0.5</f>
        <v>-0.31794850000000002</v>
      </c>
      <c r="W374">
        <f>M374*0.5+G374*0.25+I374*0.25</f>
        <v>0.72900000000000009</v>
      </c>
    </row>
    <row r="375" spans="1:23" x14ac:dyDescent="0.2">
      <c r="A375">
        <v>3.95E-2</v>
      </c>
      <c r="B375">
        <v>0</v>
      </c>
      <c r="C375">
        <v>4</v>
      </c>
      <c r="D375">
        <v>0.48499999999999999</v>
      </c>
      <c r="E375">
        <v>-4.492</v>
      </c>
      <c r="F375">
        <v>217333</v>
      </c>
      <c r="G375">
        <v>0.54500000000000004</v>
      </c>
      <c r="H375">
        <v>218</v>
      </c>
      <c r="I375">
        <v>0.52900000000000003</v>
      </c>
      <c r="J375">
        <v>1.7600000000000001E-3</v>
      </c>
      <c r="K375" t="s">
        <v>688</v>
      </c>
      <c r="L375">
        <v>2</v>
      </c>
      <c r="M375">
        <v>0.83</v>
      </c>
      <c r="N375">
        <v>113.682</v>
      </c>
      <c r="O375">
        <v>6.54E-2</v>
      </c>
      <c r="P375">
        <v>1</v>
      </c>
      <c r="Q375">
        <v>8</v>
      </c>
      <c r="R375" t="s">
        <v>161</v>
      </c>
      <c r="S375" t="s">
        <v>689</v>
      </c>
      <c r="T375">
        <f>I375*-0.5+M375*0.5</f>
        <v>0.15049999999999997</v>
      </c>
      <c r="U375">
        <f>I375*0.7+M375*-0.25+D375*-0.25</f>
        <v>4.1550000000000031E-2</v>
      </c>
      <c r="V375">
        <f>J375*0.5+I375*-0.5</f>
        <v>-0.26362000000000002</v>
      </c>
      <c r="W375">
        <f>M375*0.5+G375*0.25+I375*0.25</f>
        <v>0.6835</v>
      </c>
    </row>
    <row r="376" spans="1:23" x14ac:dyDescent="0.2">
      <c r="A376">
        <v>0.16600000000000001</v>
      </c>
      <c r="B376">
        <v>7</v>
      </c>
      <c r="C376">
        <v>4</v>
      </c>
      <c r="D376">
        <v>2.8400000000000002E-2</v>
      </c>
      <c r="E376">
        <v>-4.4909999999999997</v>
      </c>
      <c r="F376">
        <v>222787</v>
      </c>
      <c r="G376">
        <v>0.59199999999999997</v>
      </c>
      <c r="H376">
        <v>221</v>
      </c>
      <c r="I376">
        <v>0.56000000000000005</v>
      </c>
      <c r="J376">
        <v>1.58E-3</v>
      </c>
      <c r="K376" t="s">
        <v>645</v>
      </c>
      <c r="L376">
        <v>35</v>
      </c>
      <c r="M376">
        <v>0.86099999999999999</v>
      </c>
      <c r="N376">
        <v>130.006</v>
      </c>
      <c r="O376">
        <v>0</v>
      </c>
      <c r="P376">
        <v>1</v>
      </c>
      <c r="Q376">
        <v>19</v>
      </c>
      <c r="R376" t="s">
        <v>646</v>
      </c>
      <c r="S376" t="s">
        <v>647</v>
      </c>
      <c r="T376">
        <f>I376*-0.5+M376*0.5</f>
        <v>0.15049999999999997</v>
      </c>
      <c r="U376">
        <f>I376*0.7+M376*-0.25+D376*-0.25</f>
        <v>0.16965000000000002</v>
      </c>
      <c r="V376">
        <f>J376*0.5+I376*-0.5</f>
        <v>-0.27921000000000001</v>
      </c>
      <c r="W376">
        <f>M376*0.5+G376*0.25+I376*0.25</f>
        <v>0.71850000000000003</v>
      </c>
    </row>
    <row r="377" spans="1:23" x14ac:dyDescent="0.2">
      <c r="A377">
        <v>0.28499999999999998</v>
      </c>
      <c r="B377">
        <v>9</v>
      </c>
      <c r="C377">
        <v>4</v>
      </c>
      <c r="D377">
        <v>0.44700000000000001</v>
      </c>
      <c r="E377">
        <v>-4.6310000000000002</v>
      </c>
      <c r="F377">
        <v>193960</v>
      </c>
      <c r="G377">
        <v>0.54300000000000004</v>
      </c>
      <c r="H377">
        <v>193</v>
      </c>
      <c r="I377">
        <v>0.68</v>
      </c>
      <c r="J377">
        <v>1.5200000000000001E-3</v>
      </c>
      <c r="K377" t="s">
        <v>515</v>
      </c>
      <c r="L377">
        <v>37</v>
      </c>
      <c r="M377">
        <v>0.98099999999999998</v>
      </c>
      <c r="N377">
        <v>162.786</v>
      </c>
      <c r="O377">
        <v>7.5900000000000004E-3</v>
      </c>
      <c r="P377">
        <v>0</v>
      </c>
      <c r="Q377">
        <v>11</v>
      </c>
      <c r="R377" t="s">
        <v>516</v>
      </c>
      <c r="S377" t="s">
        <v>517</v>
      </c>
      <c r="T377">
        <f>I377*-0.5+M377*0.5</f>
        <v>0.15049999999999997</v>
      </c>
      <c r="U377">
        <f>I377*0.7+M377*-0.25+D377*-0.25</f>
        <v>0.11899999999999998</v>
      </c>
      <c r="V377">
        <f>J377*0.5+I377*-0.5</f>
        <v>-0.33924000000000004</v>
      </c>
      <c r="W377">
        <f>M377*0.5+G377*0.25+I377*0.25</f>
        <v>0.79625000000000001</v>
      </c>
    </row>
    <row r="378" spans="1:23" x14ac:dyDescent="0.2">
      <c r="A378">
        <v>3.4799999999999998E-2</v>
      </c>
      <c r="B378">
        <v>10</v>
      </c>
      <c r="C378">
        <v>4</v>
      </c>
      <c r="D378">
        <v>0.112</v>
      </c>
      <c r="E378">
        <v>-4.1470000000000002</v>
      </c>
      <c r="F378">
        <v>218707</v>
      </c>
      <c r="G378">
        <v>0.57499999999999996</v>
      </c>
      <c r="H378">
        <v>219</v>
      </c>
      <c r="I378">
        <v>0.41899999999999998</v>
      </c>
      <c r="J378">
        <v>0.27600000000000002</v>
      </c>
      <c r="K378" t="s">
        <v>1923</v>
      </c>
      <c r="L378">
        <v>41</v>
      </c>
      <c r="M378">
        <v>0.71899999999999997</v>
      </c>
      <c r="N378">
        <v>124.997</v>
      </c>
      <c r="O378">
        <v>0</v>
      </c>
      <c r="P378">
        <v>1</v>
      </c>
      <c r="Q378">
        <v>19</v>
      </c>
      <c r="R378" t="s">
        <v>1924</v>
      </c>
      <c r="S378" t="s">
        <v>1925</v>
      </c>
      <c r="T378">
        <f>I378*-0.5+M378*0.5</f>
        <v>0.15</v>
      </c>
      <c r="U378">
        <f>I378*0.7+M378*-0.25+D378*-0.25</f>
        <v>8.5549999999999959E-2</v>
      </c>
      <c r="V378">
        <f>J378*0.5+I378*-0.5</f>
        <v>-7.149999999999998E-2</v>
      </c>
      <c r="W378">
        <f>M378*0.5+G378*0.25+I378*0.25</f>
        <v>0.60799999999999998</v>
      </c>
    </row>
    <row r="379" spans="1:23" x14ac:dyDescent="0.2">
      <c r="A379">
        <v>5.6899999999999999E-2</v>
      </c>
      <c r="B379">
        <v>11</v>
      </c>
      <c r="C379">
        <v>4</v>
      </c>
      <c r="D379">
        <v>8.0100000000000005E-2</v>
      </c>
      <c r="E379">
        <v>-5.1440000000000001</v>
      </c>
      <c r="F379">
        <v>206467</v>
      </c>
      <c r="G379">
        <v>0.65600000000000003</v>
      </c>
      <c r="H379">
        <v>203</v>
      </c>
      <c r="I379">
        <v>0.501</v>
      </c>
      <c r="J379">
        <v>2.1499999999999998E-2</v>
      </c>
      <c r="K379" t="s">
        <v>809</v>
      </c>
      <c r="L379">
        <v>52</v>
      </c>
      <c r="M379">
        <v>0.8</v>
      </c>
      <c r="N379">
        <v>119.96599999999999</v>
      </c>
      <c r="O379" s="1">
        <v>1.9599999999999999E-6</v>
      </c>
      <c r="P379">
        <v>1</v>
      </c>
      <c r="Q379">
        <v>19</v>
      </c>
      <c r="R379" t="s">
        <v>810</v>
      </c>
      <c r="S379" t="s">
        <v>811</v>
      </c>
      <c r="T379">
        <f>I379*-0.5+M379*0.5</f>
        <v>0.14950000000000002</v>
      </c>
      <c r="U379">
        <f>I379*0.7+M379*-0.25+D379*-0.25</f>
        <v>0.13067499999999993</v>
      </c>
      <c r="V379">
        <f>J379*0.5+I379*-0.5</f>
        <v>-0.23974999999999999</v>
      </c>
      <c r="W379">
        <f>M379*0.5+G379*0.25+I379*0.25</f>
        <v>0.68925000000000003</v>
      </c>
    </row>
    <row r="380" spans="1:23" x14ac:dyDescent="0.2">
      <c r="A380">
        <v>7.1499999999999994E-2</v>
      </c>
      <c r="B380">
        <v>9</v>
      </c>
      <c r="C380">
        <v>4</v>
      </c>
      <c r="D380">
        <v>7.6899999999999996E-2</v>
      </c>
      <c r="E380">
        <v>-5.1760000000000002</v>
      </c>
      <c r="F380">
        <v>178267</v>
      </c>
      <c r="G380">
        <v>0.57399999999999995</v>
      </c>
      <c r="H380">
        <v>178</v>
      </c>
      <c r="I380">
        <v>0.61299999999999999</v>
      </c>
      <c r="J380">
        <v>6.1799999999999995E-4</v>
      </c>
      <c r="K380" t="s">
        <v>582</v>
      </c>
      <c r="L380">
        <v>8</v>
      </c>
      <c r="M380">
        <v>0.91100000000000003</v>
      </c>
      <c r="N380">
        <v>98.075000000000003</v>
      </c>
      <c r="O380">
        <v>0</v>
      </c>
      <c r="P380">
        <v>1</v>
      </c>
      <c r="Q380">
        <v>16</v>
      </c>
      <c r="R380" t="s">
        <v>583</v>
      </c>
      <c r="S380" t="s">
        <v>584</v>
      </c>
      <c r="T380">
        <f>I380*-0.5+M380*0.5</f>
        <v>0.14900000000000002</v>
      </c>
      <c r="U380">
        <f>I380*0.7+M380*-0.25+D380*-0.25</f>
        <v>0.18212499999999998</v>
      </c>
      <c r="V380">
        <f>J380*0.5+I380*-0.5</f>
        <v>-0.30619099999999999</v>
      </c>
      <c r="W380">
        <f>M380*0.5+G380*0.25+I380*0.25</f>
        <v>0.75224999999999997</v>
      </c>
    </row>
    <row r="381" spans="1:23" x14ac:dyDescent="0.2">
      <c r="A381">
        <v>4.8300000000000003E-2</v>
      </c>
      <c r="B381">
        <v>8</v>
      </c>
      <c r="C381">
        <v>4</v>
      </c>
      <c r="D381">
        <v>0.23699999999999999</v>
      </c>
      <c r="E381">
        <v>-5.0659999999999998</v>
      </c>
      <c r="F381">
        <v>234507</v>
      </c>
      <c r="G381">
        <v>0.69499999999999995</v>
      </c>
      <c r="H381">
        <v>230</v>
      </c>
      <c r="I381">
        <v>0.57199999999999995</v>
      </c>
      <c r="J381">
        <v>0.41</v>
      </c>
      <c r="K381" t="s">
        <v>2086</v>
      </c>
      <c r="L381">
        <v>47</v>
      </c>
      <c r="M381">
        <v>0.86899999999999999</v>
      </c>
      <c r="N381">
        <v>124.989</v>
      </c>
      <c r="O381">
        <v>0</v>
      </c>
      <c r="P381">
        <v>1</v>
      </c>
      <c r="Q381">
        <v>9</v>
      </c>
      <c r="R381" t="s">
        <v>964</v>
      </c>
      <c r="S381" t="s">
        <v>2087</v>
      </c>
      <c r="T381">
        <f>I381*-0.5+M381*0.5</f>
        <v>0.14850000000000002</v>
      </c>
      <c r="U381">
        <f>I381*0.7+M381*-0.25+D381*-0.25</f>
        <v>0.12389999999999993</v>
      </c>
      <c r="V381">
        <f>J381*0.5+I381*-0.5</f>
        <v>-8.0999999999999989E-2</v>
      </c>
      <c r="W381">
        <f>M381*0.5+G381*0.25+I381*0.25</f>
        <v>0.75124999999999997</v>
      </c>
    </row>
    <row r="382" spans="1:23" x14ac:dyDescent="0.2">
      <c r="A382">
        <v>0.41</v>
      </c>
      <c r="B382">
        <v>1</v>
      </c>
      <c r="C382">
        <v>4</v>
      </c>
      <c r="D382">
        <v>0.77500000000000002</v>
      </c>
      <c r="E382">
        <v>-2.0270000000000001</v>
      </c>
      <c r="F382">
        <v>254027</v>
      </c>
      <c r="G382">
        <v>0.51400000000000001</v>
      </c>
      <c r="H382">
        <v>240</v>
      </c>
      <c r="I382">
        <v>0.61399999999999999</v>
      </c>
      <c r="J382">
        <v>5.5899999999999998E-2</v>
      </c>
      <c r="K382" t="s">
        <v>725</v>
      </c>
      <c r="L382">
        <v>7</v>
      </c>
      <c r="M382">
        <v>0.91100000000000003</v>
      </c>
      <c r="N382">
        <v>161.10900000000001</v>
      </c>
      <c r="O382">
        <v>0</v>
      </c>
      <c r="P382">
        <v>0</v>
      </c>
      <c r="Q382">
        <v>1</v>
      </c>
      <c r="R382" t="s">
        <v>726</v>
      </c>
      <c r="S382" t="s">
        <v>727</v>
      </c>
      <c r="T382">
        <f>I382*-0.5+M382*0.5</f>
        <v>0.14850000000000002</v>
      </c>
      <c r="U382">
        <f>I382*0.7+M382*-0.25+D382*-0.25</f>
        <v>8.2999999999999463E-3</v>
      </c>
      <c r="V382">
        <f>J382*0.5+I382*-0.5</f>
        <v>-0.27905000000000002</v>
      </c>
      <c r="W382">
        <f>M382*0.5+G382*0.25+I382*0.25</f>
        <v>0.73750000000000004</v>
      </c>
    </row>
    <row r="383" spans="1:23" x14ac:dyDescent="0.2">
      <c r="A383">
        <v>6.6000000000000003E-2</v>
      </c>
      <c r="B383">
        <v>7</v>
      </c>
      <c r="C383">
        <v>4</v>
      </c>
      <c r="D383">
        <v>9.3899999999999997E-2</v>
      </c>
      <c r="E383">
        <v>-5.2039999999999997</v>
      </c>
      <c r="F383">
        <v>189333</v>
      </c>
      <c r="G383">
        <v>0.48099999999999998</v>
      </c>
      <c r="H383">
        <v>191</v>
      </c>
      <c r="I383">
        <v>0.64300000000000002</v>
      </c>
      <c r="J383">
        <v>8.9099999999999997E-4</v>
      </c>
      <c r="K383" t="s">
        <v>552</v>
      </c>
      <c r="L383">
        <v>5</v>
      </c>
      <c r="M383">
        <v>0.94</v>
      </c>
      <c r="N383">
        <v>96.492999999999995</v>
      </c>
      <c r="O383">
        <v>0</v>
      </c>
      <c r="P383">
        <v>1</v>
      </c>
      <c r="Q383">
        <v>16</v>
      </c>
      <c r="R383" t="s">
        <v>553</v>
      </c>
      <c r="S383" t="s">
        <v>554</v>
      </c>
      <c r="T383">
        <f>I383*-0.5+M383*0.5</f>
        <v>0.14849999999999997</v>
      </c>
      <c r="U383">
        <f>I383*0.7+M383*-0.25+D383*-0.25</f>
        <v>0.19162500000000002</v>
      </c>
      <c r="V383">
        <f>J383*0.5+I383*-0.5</f>
        <v>-0.32105450000000002</v>
      </c>
      <c r="W383">
        <f>M383*0.5+G383*0.25+I383*0.25</f>
        <v>0.75099999999999989</v>
      </c>
    </row>
    <row r="384" spans="1:23" x14ac:dyDescent="0.2">
      <c r="A384">
        <v>3.3799999999999997E-2</v>
      </c>
      <c r="B384">
        <v>3</v>
      </c>
      <c r="C384">
        <v>4</v>
      </c>
      <c r="D384">
        <v>0.113</v>
      </c>
      <c r="E384">
        <v>-8.74</v>
      </c>
      <c r="F384">
        <v>295533</v>
      </c>
      <c r="G384">
        <v>0.20899999999999999</v>
      </c>
      <c r="H384">
        <v>293</v>
      </c>
      <c r="I384">
        <v>0.122</v>
      </c>
      <c r="J384">
        <v>0.16300000000000001</v>
      </c>
      <c r="K384" t="s">
        <v>2056</v>
      </c>
      <c r="L384">
        <v>20</v>
      </c>
      <c r="M384">
        <v>0.41799999999999998</v>
      </c>
      <c r="N384">
        <v>138.26499999999999</v>
      </c>
      <c r="O384">
        <v>1.9499999999999999E-3</v>
      </c>
      <c r="P384">
        <v>1</v>
      </c>
      <c r="Q384">
        <v>19</v>
      </c>
      <c r="R384" t="s">
        <v>116</v>
      </c>
      <c r="S384" t="s">
        <v>2057</v>
      </c>
      <c r="T384">
        <f>I384*-0.5+M384*0.5</f>
        <v>0.14799999999999999</v>
      </c>
      <c r="U384">
        <f>I384*0.7+M384*-0.25+D384*-0.25</f>
        <v>-4.7350000000000003E-2</v>
      </c>
      <c r="V384">
        <f>J384*0.5+I384*-0.5</f>
        <v>2.0500000000000004E-2</v>
      </c>
      <c r="W384">
        <f>M384*0.5+G384*0.25+I384*0.25</f>
        <v>0.29174999999999995</v>
      </c>
    </row>
    <row r="385" spans="1:23" x14ac:dyDescent="0.2">
      <c r="A385">
        <v>2.92E-2</v>
      </c>
      <c r="B385">
        <v>2</v>
      </c>
      <c r="C385">
        <v>4</v>
      </c>
      <c r="D385">
        <v>9.5899999999999999E-2</v>
      </c>
      <c r="E385">
        <v>-7.0289999999999999</v>
      </c>
      <c r="F385">
        <v>237173</v>
      </c>
      <c r="G385">
        <v>0.41699999999999998</v>
      </c>
      <c r="H385">
        <v>235</v>
      </c>
      <c r="I385">
        <v>0.19400000000000001</v>
      </c>
      <c r="J385">
        <v>4.2299999999999997E-2</v>
      </c>
      <c r="K385" t="s">
        <v>1551</v>
      </c>
      <c r="L385">
        <v>27</v>
      </c>
      <c r="M385">
        <v>0.48799999999999999</v>
      </c>
      <c r="N385">
        <v>188.209</v>
      </c>
      <c r="O385">
        <v>0</v>
      </c>
      <c r="P385">
        <v>1</v>
      </c>
      <c r="Q385">
        <v>20</v>
      </c>
      <c r="R385" t="s">
        <v>802</v>
      </c>
      <c r="S385" t="s">
        <v>1552</v>
      </c>
      <c r="T385">
        <f>I385*-0.5+M385*0.5</f>
        <v>0.14699999999999999</v>
      </c>
      <c r="U385">
        <f>I385*0.7+M385*-0.25+D385*-0.25</f>
        <v>-1.0174999999999993E-2</v>
      </c>
      <c r="V385">
        <f>J385*0.5+I385*-0.5</f>
        <v>-7.5850000000000001E-2</v>
      </c>
      <c r="W385">
        <f>M385*0.5+G385*0.25+I385*0.25</f>
        <v>0.39674999999999999</v>
      </c>
    </row>
    <row r="386" spans="1:23" x14ac:dyDescent="0.2">
      <c r="A386">
        <v>0.25900000000000001</v>
      </c>
      <c r="B386">
        <v>0</v>
      </c>
      <c r="C386">
        <v>4</v>
      </c>
      <c r="D386">
        <v>0.60099999999999998</v>
      </c>
      <c r="E386">
        <v>-4.99</v>
      </c>
      <c r="F386">
        <v>299747</v>
      </c>
      <c r="G386">
        <v>0.71299999999999997</v>
      </c>
      <c r="H386">
        <v>232</v>
      </c>
      <c r="I386">
        <v>0.45200000000000001</v>
      </c>
      <c r="J386">
        <v>4.02E-2</v>
      </c>
      <c r="K386" t="s">
        <v>985</v>
      </c>
      <c r="L386">
        <v>31</v>
      </c>
      <c r="M386">
        <v>0.746</v>
      </c>
      <c r="N386">
        <v>135.02099999999999</v>
      </c>
      <c r="O386">
        <v>0</v>
      </c>
      <c r="P386">
        <v>1</v>
      </c>
      <c r="Q386">
        <v>6</v>
      </c>
      <c r="R386" t="s">
        <v>986</v>
      </c>
      <c r="S386" t="s">
        <v>987</v>
      </c>
      <c r="T386">
        <f>I386*-0.5+M386*0.5</f>
        <v>0.14699999999999999</v>
      </c>
      <c r="U386">
        <f>I386*0.7+M386*-0.25+D386*-0.25</f>
        <v>-2.0349999999999979E-2</v>
      </c>
      <c r="V386">
        <f>J386*0.5+I386*-0.5</f>
        <v>-0.2059</v>
      </c>
      <c r="W386">
        <f>M386*0.5+G386*0.25+I386*0.25</f>
        <v>0.66425000000000001</v>
      </c>
    </row>
    <row r="387" spans="1:23" x14ac:dyDescent="0.2">
      <c r="A387">
        <v>3.4599999999999999E-2</v>
      </c>
      <c r="B387">
        <v>5</v>
      </c>
      <c r="C387">
        <v>4</v>
      </c>
      <c r="D387">
        <v>9.8000000000000004E-2</v>
      </c>
      <c r="E387">
        <v>-3.1080000000000001</v>
      </c>
      <c r="F387">
        <v>199187</v>
      </c>
      <c r="G387">
        <v>0.52400000000000002</v>
      </c>
      <c r="H387">
        <v>197</v>
      </c>
      <c r="I387">
        <v>0.58499999999999996</v>
      </c>
      <c r="J387">
        <v>1.1999999999999999E-3</v>
      </c>
      <c r="K387" t="s">
        <v>640</v>
      </c>
      <c r="L387">
        <v>32</v>
      </c>
      <c r="M387">
        <v>0.878</v>
      </c>
      <c r="N387">
        <v>130.989</v>
      </c>
      <c r="O387">
        <v>0</v>
      </c>
      <c r="P387">
        <v>0</v>
      </c>
      <c r="Q387">
        <v>18</v>
      </c>
      <c r="R387" t="s">
        <v>206</v>
      </c>
      <c r="S387" t="s">
        <v>641</v>
      </c>
      <c r="T387">
        <f>I387*-0.5+M387*0.5</f>
        <v>0.14650000000000002</v>
      </c>
      <c r="U387">
        <f>I387*0.7+M387*-0.25+D387*-0.25</f>
        <v>0.16549999999999998</v>
      </c>
      <c r="V387">
        <f>J387*0.5+I387*-0.5</f>
        <v>-0.29189999999999999</v>
      </c>
      <c r="W387">
        <f>M387*0.5+G387*0.25+I387*0.25</f>
        <v>0.71625000000000005</v>
      </c>
    </row>
    <row r="388" spans="1:23" x14ac:dyDescent="0.2">
      <c r="A388">
        <v>4.1099999999999998E-2</v>
      </c>
      <c r="B388">
        <v>7</v>
      </c>
      <c r="C388">
        <v>4</v>
      </c>
      <c r="D388">
        <v>0.106</v>
      </c>
      <c r="E388">
        <v>-3.742</v>
      </c>
      <c r="F388">
        <v>229480</v>
      </c>
      <c r="G388">
        <v>0.72199999999999998</v>
      </c>
      <c r="H388">
        <v>229</v>
      </c>
      <c r="I388">
        <v>0.48</v>
      </c>
      <c r="J388">
        <v>3.1899999999999998E-2</v>
      </c>
      <c r="K388" t="s">
        <v>930</v>
      </c>
      <c r="L388">
        <v>47</v>
      </c>
      <c r="M388">
        <v>0.77100000000000002</v>
      </c>
      <c r="N388">
        <v>127.946</v>
      </c>
      <c r="O388">
        <v>1.27E-4</v>
      </c>
      <c r="P388">
        <v>0</v>
      </c>
      <c r="Q388">
        <v>11</v>
      </c>
      <c r="R388" t="s">
        <v>931</v>
      </c>
      <c r="S388" t="s">
        <v>932</v>
      </c>
      <c r="T388">
        <f>I388*-0.5+M388*0.5</f>
        <v>0.14550000000000002</v>
      </c>
      <c r="U388">
        <f>I388*0.7+M388*-0.25+D388*-0.25</f>
        <v>0.11674999999999996</v>
      </c>
      <c r="V388">
        <f>J388*0.5+I388*-0.5</f>
        <v>-0.22405</v>
      </c>
      <c r="W388">
        <f>M388*0.5+G388*0.25+I388*0.25</f>
        <v>0.68600000000000005</v>
      </c>
    </row>
    <row r="389" spans="1:23" x14ac:dyDescent="0.2">
      <c r="A389">
        <v>3.1800000000000002E-2</v>
      </c>
      <c r="B389">
        <v>1</v>
      </c>
      <c r="C389">
        <v>4</v>
      </c>
      <c r="D389">
        <v>7.1900000000000006E-2</v>
      </c>
      <c r="E389">
        <v>-5.306</v>
      </c>
      <c r="F389">
        <v>251333</v>
      </c>
      <c r="G389">
        <v>0.38800000000000001</v>
      </c>
      <c r="H389">
        <v>250</v>
      </c>
      <c r="I389">
        <v>0.45500000000000002</v>
      </c>
      <c r="J389">
        <v>5.6300000000000002E-4</v>
      </c>
      <c r="K389" t="s">
        <v>858</v>
      </c>
      <c r="L389">
        <v>11</v>
      </c>
      <c r="M389">
        <v>0.746</v>
      </c>
      <c r="N389">
        <v>159.67500000000001</v>
      </c>
      <c r="O389">
        <v>0</v>
      </c>
      <c r="P389">
        <v>1</v>
      </c>
      <c r="Q389">
        <v>19</v>
      </c>
      <c r="R389" t="s">
        <v>859</v>
      </c>
      <c r="S389" t="s">
        <v>860</v>
      </c>
      <c r="T389">
        <f>I389*-0.5+M389*0.5</f>
        <v>0.14549999999999999</v>
      </c>
      <c r="U389">
        <f>I389*0.7+M389*-0.25+D389*-0.25</f>
        <v>0.114025</v>
      </c>
      <c r="V389">
        <f>J389*0.5+I389*-0.5</f>
        <v>-0.22721850000000002</v>
      </c>
      <c r="W389">
        <f>M389*0.5+G389*0.25+I389*0.25</f>
        <v>0.58374999999999999</v>
      </c>
    </row>
    <row r="390" spans="1:23" x14ac:dyDescent="0.2">
      <c r="A390">
        <v>6.4399999999999999E-2</v>
      </c>
      <c r="B390">
        <v>10</v>
      </c>
      <c r="C390">
        <v>4</v>
      </c>
      <c r="D390">
        <v>0.107</v>
      </c>
      <c r="E390">
        <v>-5.0049999999999999</v>
      </c>
      <c r="F390">
        <v>203507</v>
      </c>
      <c r="G390">
        <v>0.45900000000000002</v>
      </c>
      <c r="H390">
        <v>202</v>
      </c>
      <c r="I390">
        <v>0.59399999999999997</v>
      </c>
      <c r="J390">
        <v>5.3899999999999998E-3</v>
      </c>
      <c r="K390" t="s">
        <v>660</v>
      </c>
      <c r="L390">
        <v>25</v>
      </c>
      <c r="M390">
        <v>0.88400000000000001</v>
      </c>
      <c r="N390">
        <v>154.86799999999999</v>
      </c>
      <c r="O390">
        <v>0</v>
      </c>
      <c r="P390">
        <v>0</v>
      </c>
      <c r="Q390">
        <v>1</v>
      </c>
      <c r="R390" t="s">
        <v>222</v>
      </c>
      <c r="S390" t="s">
        <v>661</v>
      </c>
      <c r="T390">
        <f>I390*-0.5+M390*0.5</f>
        <v>0.14500000000000002</v>
      </c>
      <c r="U390">
        <f>I390*0.7+M390*-0.25+D390*-0.25</f>
        <v>0.16804999999999995</v>
      </c>
      <c r="V390">
        <f>J390*0.5+I390*-0.5</f>
        <v>-0.29430499999999998</v>
      </c>
      <c r="W390">
        <f>M390*0.5+G390*0.25+I390*0.25</f>
        <v>0.70524999999999993</v>
      </c>
    </row>
    <row r="391" spans="1:23" x14ac:dyDescent="0.2">
      <c r="A391">
        <v>4.5900000000000003E-2</v>
      </c>
      <c r="B391">
        <v>3</v>
      </c>
      <c r="C391">
        <v>4</v>
      </c>
      <c r="D391">
        <v>0.26</v>
      </c>
      <c r="E391">
        <v>-3.84</v>
      </c>
      <c r="F391">
        <v>238880</v>
      </c>
      <c r="G391">
        <v>0.52900000000000003</v>
      </c>
      <c r="H391">
        <v>238</v>
      </c>
      <c r="I391">
        <v>0.63300000000000001</v>
      </c>
      <c r="J391">
        <v>1.9799999999999999E-4</v>
      </c>
      <c r="K391" t="s">
        <v>590</v>
      </c>
      <c r="L391">
        <v>22</v>
      </c>
      <c r="M391">
        <v>0.92200000000000004</v>
      </c>
      <c r="N391">
        <v>109.84699999999999</v>
      </c>
      <c r="O391">
        <v>0</v>
      </c>
      <c r="P391">
        <v>1</v>
      </c>
      <c r="Q391">
        <v>18</v>
      </c>
      <c r="R391" t="s">
        <v>155</v>
      </c>
      <c r="S391" t="s">
        <v>591</v>
      </c>
      <c r="T391">
        <f>I391*-0.5+M391*0.5</f>
        <v>0.14450000000000002</v>
      </c>
      <c r="U391">
        <f>I391*0.7+M391*-0.25+D391*-0.25</f>
        <v>0.14759999999999998</v>
      </c>
      <c r="V391">
        <f>J391*0.5+I391*-0.5</f>
        <v>-0.31640099999999999</v>
      </c>
      <c r="W391">
        <f>M391*0.5+G391*0.25+I391*0.25</f>
        <v>0.75150000000000006</v>
      </c>
    </row>
    <row r="392" spans="1:23" x14ac:dyDescent="0.2">
      <c r="A392">
        <v>3.0700000000000002E-2</v>
      </c>
      <c r="B392">
        <v>1</v>
      </c>
      <c r="C392">
        <v>4</v>
      </c>
      <c r="D392">
        <v>9.98E-2</v>
      </c>
      <c r="E392">
        <v>-5.8259999999999996</v>
      </c>
      <c r="F392">
        <v>218840</v>
      </c>
      <c r="G392">
        <v>0.59299999999999997</v>
      </c>
      <c r="H392">
        <v>214</v>
      </c>
      <c r="I392">
        <v>0.35099999999999998</v>
      </c>
      <c r="J392">
        <v>0.44600000000000001</v>
      </c>
      <c r="K392" t="s">
        <v>2482</v>
      </c>
      <c r="L392">
        <v>40</v>
      </c>
      <c r="M392">
        <v>0.63900000000000001</v>
      </c>
      <c r="N392">
        <v>142.881</v>
      </c>
      <c r="O392">
        <v>0</v>
      </c>
      <c r="P392">
        <v>1</v>
      </c>
      <c r="Q392">
        <v>15</v>
      </c>
      <c r="R392" t="s">
        <v>989</v>
      </c>
      <c r="S392" t="s">
        <v>2483</v>
      </c>
      <c r="T392">
        <f>I392*-0.5+M392*0.5</f>
        <v>0.14400000000000002</v>
      </c>
      <c r="U392">
        <f>I392*0.7+M392*-0.25+D392*-0.25</f>
        <v>6.0999999999999971E-2</v>
      </c>
      <c r="V392">
        <f>J392*0.5+I392*-0.5</f>
        <v>4.7500000000000014E-2</v>
      </c>
      <c r="W392">
        <f>M392*0.5+G392*0.25+I392*0.25</f>
        <v>0.55549999999999999</v>
      </c>
    </row>
    <row r="393" spans="1:23" x14ac:dyDescent="0.2">
      <c r="A393">
        <v>3.73E-2</v>
      </c>
      <c r="B393">
        <v>1</v>
      </c>
      <c r="C393">
        <v>4</v>
      </c>
      <c r="D393">
        <v>0.11700000000000001</v>
      </c>
      <c r="E393">
        <v>-6.2430000000000003</v>
      </c>
      <c r="F393">
        <v>229813</v>
      </c>
      <c r="G393">
        <v>0.67500000000000004</v>
      </c>
      <c r="H393">
        <v>227</v>
      </c>
      <c r="I393">
        <v>0.47699999999999998</v>
      </c>
      <c r="J393">
        <v>0.14199999999999999</v>
      </c>
      <c r="K393" t="s">
        <v>1381</v>
      </c>
      <c r="L393">
        <v>48</v>
      </c>
      <c r="M393">
        <v>0.76400000000000001</v>
      </c>
      <c r="N393">
        <v>120.009</v>
      </c>
      <c r="O393">
        <v>0</v>
      </c>
      <c r="P393">
        <v>1</v>
      </c>
      <c r="Q393">
        <v>7</v>
      </c>
      <c r="R393" t="s">
        <v>108</v>
      </c>
      <c r="S393" t="s">
        <v>1382</v>
      </c>
      <c r="T393">
        <f>I393*-0.5+M393*0.5</f>
        <v>0.14350000000000002</v>
      </c>
      <c r="U393">
        <f>I393*0.7+M393*-0.25+D393*-0.25</f>
        <v>0.11364999999999997</v>
      </c>
      <c r="V393">
        <f>J393*0.5+I393*-0.5</f>
        <v>-0.16749999999999998</v>
      </c>
      <c r="W393">
        <f>M393*0.5+G393*0.25+I393*0.25</f>
        <v>0.67</v>
      </c>
    </row>
    <row r="394" spans="1:23" x14ac:dyDescent="0.2">
      <c r="A394">
        <v>6.9599999999999995E-2</v>
      </c>
      <c r="B394">
        <v>5</v>
      </c>
      <c r="C394">
        <v>4</v>
      </c>
      <c r="D394">
        <v>0.25600000000000001</v>
      </c>
      <c r="E394">
        <v>-4.3209999999999997</v>
      </c>
      <c r="F394">
        <v>236693</v>
      </c>
      <c r="G394">
        <v>0.752</v>
      </c>
      <c r="H394">
        <v>236</v>
      </c>
      <c r="I394">
        <v>0.63500000000000001</v>
      </c>
      <c r="J394">
        <v>1.8200000000000001E-2</v>
      </c>
      <c r="K394" t="s">
        <v>651</v>
      </c>
      <c r="L394">
        <v>27</v>
      </c>
      <c r="M394">
        <v>0.92100000000000004</v>
      </c>
      <c r="N394">
        <v>115.033</v>
      </c>
      <c r="O394">
        <v>0</v>
      </c>
      <c r="P394">
        <v>0</v>
      </c>
      <c r="Q394">
        <v>10</v>
      </c>
      <c r="R394" t="s">
        <v>652</v>
      </c>
      <c r="S394" t="s">
        <v>653</v>
      </c>
      <c r="T394">
        <f>I394*-0.5+M394*0.5</f>
        <v>0.14300000000000002</v>
      </c>
      <c r="U394">
        <f>I394*0.7+M394*-0.25+D394*-0.25</f>
        <v>0.15024999999999994</v>
      </c>
      <c r="V394">
        <f>J394*0.5+I394*-0.5</f>
        <v>-0.30840000000000001</v>
      </c>
      <c r="W394">
        <f>M394*0.5+G394*0.25+I394*0.25</f>
        <v>0.80725000000000002</v>
      </c>
    </row>
    <row r="395" spans="1:23" x14ac:dyDescent="0.2">
      <c r="A395">
        <v>6.8099999999999994E-2</v>
      </c>
      <c r="B395">
        <v>9</v>
      </c>
      <c r="C395">
        <v>4</v>
      </c>
      <c r="D395">
        <v>6.2100000000000002E-2</v>
      </c>
      <c r="E395">
        <v>-6.6639999999999997</v>
      </c>
      <c r="F395">
        <v>238733</v>
      </c>
      <c r="G395">
        <v>0.67600000000000005</v>
      </c>
      <c r="H395">
        <v>267</v>
      </c>
      <c r="I395">
        <v>0.65200000000000002</v>
      </c>
      <c r="J395">
        <v>6.3899999999999998E-3</v>
      </c>
      <c r="K395" t="s">
        <v>595</v>
      </c>
      <c r="L395">
        <v>1</v>
      </c>
      <c r="M395">
        <v>0.93799999999999994</v>
      </c>
      <c r="N395">
        <v>104.833</v>
      </c>
      <c r="O395">
        <v>3.8300000000000001E-3</v>
      </c>
      <c r="P395">
        <v>1</v>
      </c>
      <c r="Q395">
        <v>9</v>
      </c>
      <c r="R395" t="s">
        <v>219</v>
      </c>
      <c r="S395" t="s">
        <v>596</v>
      </c>
      <c r="T395">
        <f>I395*-0.5+M395*0.5</f>
        <v>0.14299999999999996</v>
      </c>
      <c r="U395">
        <f>I395*0.7+M395*-0.25+D395*-0.25</f>
        <v>0.20637499999999998</v>
      </c>
      <c r="V395">
        <f>J395*0.5+I395*-0.5</f>
        <v>-0.32280500000000001</v>
      </c>
      <c r="W395">
        <f>M395*0.5+G395*0.25+I395*0.25</f>
        <v>0.80100000000000005</v>
      </c>
    </row>
    <row r="396" spans="1:23" x14ac:dyDescent="0.2">
      <c r="A396">
        <v>0.245</v>
      </c>
      <c r="B396">
        <v>11</v>
      </c>
      <c r="C396">
        <v>3</v>
      </c>
      <c r="D396">
        <v>0.123</v>
      </c>
      <c r="E396">
        <v>-8.1289999999999996</v>
      </c>
      <c r="F396">
        <v>228640</v>
      </c>
      <c r="G396">
        <v>0.48699999999999999</v>
      </c>
      <c r="H396">
        <v>225</v>
      </c>
      <c r="I396">
        <v>0.247</v>
      </c>
      <c r="J396">
        <v>1.29E-2</v>
      </c>
      <c r="K396" t="s">
        <v>1333</v>
      </c>
      <c r="L396">
        <v>60</v>
      </c>
      <c r="M396">
        <v>0.53200000000000003</v>
      </c>
      <c r="N396">
        <v>138.13</v>
      </c>
      <c r="O396">
        <v>0</v>
      </c>
      <c r="P396">
        <v>0</v>
      </c>
      <c r="Q396">
        <v>12</v>
      </c>
      <c r="R396" t="s">
        <v>1334</v>
      </c>
      <c r="S396" t="s">
        <v>1335</v>
      </c>
      <c r="T396">
        <f>I396*-0.5+M396*0.5</f>
        <v>0.14250000000000002</v>
      </c>
      <c r="U396">
        <f>I396*0.7+M396*-0.25+D396*-0.25</f>
        <v>9.1499999999999915E-3</v>
      </c>
      <c r="V396">
        <f>J396*0.5+I396*-0.5</f>
        <v>-0.11705</v>
      </c>
      <c r="W396">
        <f>M396*0.5+G396*0.25+I396*0.25</f>
        <v>0.44950000000000001</v>
      </c>
    </row>
    <row r="397" spans="1:23" x14ac:dyDescent="0.2">
      <c r="A397">
        <v>2.5499999999999998E-2</v>
      </c>
      <c r="B397">
        <v>8</v>
      </c>
      <c r="C397">
        <v>3</v>
      </c>
      <c r="D397">
        <v>6.0499999999999998E-2</v>
      </c>
      <c r="E397">
        <v>-8.2729999999999997</v>
      </c>
      <c r="F397">
        <v>378573</v>
      </c>
      <c r="G397">
        <v>0.505</v>
      </c>
      <c r="H397">
        <v>298</v>
      </c>
      <c r="I397">
        <v>0.126</v>
      </c>
      <c r="J397">
        <v>0.67700000000000005</v>
      </c>
      <c r="K397" t="s">
        <v>2978</v>
      </c>
      <c r="L397">
        <v>3</v>
      </c>
      <c r="M397">
        <v>0.41099999999999998</v>
      </c>
      <c r="N397">
        <v>80.947999999999993</v>
      </c>
      <c r="O397" s="1">
        <v>1.2300000000000001E-5</v>
      </c>
      <c r="P397">
        <v>1</v>
      </c>
      <c r="Q397">
        <v>11</v>
      </c>
      <c r="R397" t="s">
        <v>2797</v>
      </c>
      <c r="S397" t="s">
        <v>2979</v>
      </c>
      <c r="T397">
        <f>I397*-0.5+M397*0.5</f>
        <v>0.14249999999999999</v>
      </c>
      <c r="U397">
        <f>I397*0.7+M397*-0.25+D397*-0.25</f>
        <v>-2.9674999999999993E-2</v>
      </c>
      <c r="V397">
        <f>J397*0.5+I397*-0.5</f>
        <v>0.27550000000000002</v>
      </c>
      <c r="W397">
        <f>M397*0.5+G397*0.25+I397*0.25</f>
        <v>0.36324999999999996</v>
      </c>
    </row>
    <row r="398" spans="1:23" x14ac:dyDescent="0.2">
      <c r="A398">
        <v>3.9100000000000003E-2</v>
      </c>
      <c r="B398">
        <v>11</v>
      </c>
      <c r="C398">
        <v>4</v>
      </c>
      <c r="D398">
        <v>0.22600000000000001</v>
      </c>
      <c r="E398">
        <v>-5.6589999999999998</v>
      </c>
      <c r="F398">
        <v>207467</v>
      </c>
      <c r="G398">
        <v>0.45500000000000002</v>
      </c>
      <c r="H398">
        <v>205</v>
      </c>
      <c r="I398">
        <v>0.57399999999999995</v>
      </c>
      <c r="J398">
        <v>6.1600000000000001E-4</v>
      </c>
      <c r="K398" t="s">
        <v>692</v>
      </c>
      <c r="L398">
        <v>14</v>
      </c>
      <c r="M398">
        <v>0.85799999999999998</v>
      </c>
      <c r="N398">
        <v>163.11799999999999</v>
      </c>
      <c r="O398">
        <v>2.4699999999999999E-4</v>
      </c>
      <c r="P398">
        <v>0</v>
      </c>
      <c r="Q398">
        <v>19</v>
      </c>
      <c r="R398" t="s">
        <v>38</v>
      </c>
      <c r="S398" t="s">
        <v>693</v>
      </c>
      <c r="T398">
        <f>I398*-0.5+M398*0.5</f>
        <v>0.14200000000000002</v>
      </c>
      <c r="U398">
        <f>I398*0.7+M398*-0.25+D398*-0.25</f>
        <v>0.13079999999999994</v>
      </c>
      <c r="V398">
        <f>J398*0.5+I398*-0.5</f>
        <v>-0.286692</v>
      </c>
      <c r="W398">
        <f>M398*0.5+G398*0.25+I398*0.25</f>
        <v>0.68624999999999992</v>
      </c>
    </row>
    <row r="399" spans="1:23" x14ac:dyDescent="0.2">
      <c r="A399">
        <v>3.1800000000000002E-2</v>
      </c>
      <c r="B399">
        <v>10</v>
      </c>
      <c r="C399">
        <v>4</v>
      </c>
      <c r="D399">
        <v>0.105</v>
      </c>
      <c r="E399">
        <v>-7.7050000000000001</v>
      </c>
      <c r="F399">
        <v>257160</v>
      </c>
      <c r="G399">
        <v>0.68200000000000005</v>
      </c>
      <c r="H399">
        <v>242</v>
      </c>
      <c r="I399">
        <v>0.26400000000000001</v>
      </c>
      <c r="J399">
        <v>0.55500000000000005</v>
      </c>
      <c r="K399" t="s">
        <v>2776</v>
      </c>
      <c r="L399">
        <v>13</v>
      </c>
      <c r="M399">
        <v>0.54700000000000004</v>
      </c>
      <c r="N399">
        <v>120</v>
      </c>
      <c r="O399">
        <v>0</v>
      </c>
      <c r="P399">
        <v>1</v>
      </c>
      <c r="Q399">
        <v>9</v>
      </c>
      <c r="R399" t="s">
        <v>2777</v>
      </c>
      <c r="S399" t="s">
        <v>2778</v>
      </c>
      <c r="T399">
        <f>I399*-0.5+M399*0.5</f>
        <v>0.14150000000000001</v>
      </c>
      <c r="U399">
        <f>I399*0.7+M399*-0.25+D399*-0.25</f>
        <v>2.1799999999999983E-2</v>
      </c>
      <c r="V399">
        <f>J399*0.5+I399*-0.5</f>
        <v>0.14550000000000002</v>
      </c>
      <c r="W399">
        <f>M399*0.5+G399*0.25+I399*0.25</f>
        <v>0.51</v>
      </c>
    </row>
    <row r="400" spans="1:23" x14ac:dyDescent="0.2">
      <c r="A400">
        <v>9.5500000000000002E-2</v>
      </c>
      <c r="B400">
        <v>0</v>
      </c>
      <c r="C400">
        <v>4</v>
      </c>
      <c r="D400">
        <v>0.158</v>
      </c>
      <c r="E400">
        <v>-6.524</v>
      </c>
      <c r="F400">
        <v>251467</v>
      </c>
      <c r="G400">
        <v>0.75700000000000001</v>
      </c>
      <c r="H400">
        <v>250</v>
      </c>
      <c r="I400">
        <v>0.38900000000000001</v>
      </c>
      <c r="J400">
        <v>1.8599999999999998E-2</v>
      </c>
      <c r="K400" t="s">
        <v>1103</v>
      </c>
      <c r="L400">
        <v>58</v>
      </c>
      <c r="M400">
        <v>0.67200000000000004</v>
      </c>
      <c r="N400">
        <v>111.996</v>
      </c>
      <c r="O400">
        <v>0</v>
      </c>
      <c r="P400">
        <v>0</v>
      </c>
      <c r="Q400">
        <v>5</v>
      </c>
      <c r="R400" t="s">
        <v>1104</v>
      </c>
      <c r="S400" t="s">
        <v>323</v>
      </c>
      <c r="T400">
        <f>I400*-0.5+M400*0.5</f>
        <v>0.14150000000000001</v>
      </c>
      <c r="U400">
        <f>I400*0.7+M400*-0.25+D400*-0.25</f>
        <v>6.4799999999999969E-2</v>
      </c>
      <c r="V400">
        <f>J400*0.5+I400*-0.5</f>
        <v>-0.1852</v>
      </c>
      <c r="W400">
        <f>M400*0.5+G400*0.25+I400*0.25</f>
        <v>0.62250000000000005</v>
      </c>
    </row>
    <row r="401" spans="1:23" x14ac:dyDescent="0.2">
      <c r="A401">
        <v>0.16700000000000001</v>
      </c>
      <c r="B401">
        <v>1</v>
      </c>
      <c r="C401">
        <v>4</v>
      </c>
      <c r="D401">
        <v>6.25E-2</v>
      </c>
      <c r="E401">
        <v>-5.391</v>
      </c>
      <c r="F401">
        <v>102857</v>
      </c>
      <c r="G401">
        <v>0.80800000000000005</v>
      </c>
      <c r="H401">
        <v>144</v>
      </c>
      <c r="I401">
        <v>0.63800000000000001</v>
      </c>
      <c r="J401">
        <v>4.7600000000000003E-3</v>
      </c>
      <c r="K401" t="s">
        <v>616</v>
      </c>
      <c r="L401">
        <v>61</v>
      </c>
      <c r="M401">
        <v>0.91900000000000004</v>
      </c>
      <c r="N401">
        <v>154.00899999999999</v>
      </c>
      <c r="O401" s="1">
        <v>1.11E-6</v>
      </c>
      <c r="P401">
        <v>1</v>
      </c>
      <c r="Q401">
        <v>9</v>
      </c>
      <c r="R401" t="s">
        <v>617</v>
      </c>
      <c r="S401" t="s">
        <v>618</v>
      </c>
      <c r="T401">
        <f>I401*-0.5+M401*0.5</f>
        <v>0.14050000000000001</v>
      </c>
      <c r="U401">
        <f>I401*0.7+M401*-0.25+D401*-0.25</f>
        <v>0.20122499999999999</v>
      </c>
      <c r="V401">
        <f>J401*0.5+I401*-0.5</f>
        <v>-0.31662000000000001</v>
      </c>
      <c r="W401">
        <f>M401*0.5+G401*0.25+I401*0.25</f>
        <v>0.82099999999999995</v>
      </c>
    </row>
    <row r="402" spans="1:23" x14ac:dyDescent="0.2">
      <c r="A402">
        <v>0.376</v>
      </c>
      <c r="B402">
        <v>1</v>
      </c>
      <c r="C402">
        <v>4</v>
      </c>
      <c r="D402">
        <v>0.27700000000000002</v>
      </c>
      <c r="E402">
        <v>-4.8739999999999997</v>
      </c>
      <c r="F402">
        <v>257760</v>
      </c>
      <c r="G402">
        <v>0.42699999999999999</v>
      </c>
      <c r="H402">
        <v>255</v>
      </c>
      <c r="I402">
        <v>0.58099999999999996</v>
      </c>
      <c r="J402">
        <v>0.219</v>
      </c>
      <c r="K402" t="s">
        <v>1542</v>
      </c>
      <c r="L402">
        <v>32</v>
      </c>
      <c r="M402">
        <v>0.86099999999999999</v>
      </c>
      <c r="N402">
        <v>161.77600000000001</v>
      </c>
      <c r="O402">
        <v>0</v>
      </c>
      <c r="P402">
        <v>1</v>
      </c>
      <c r="Q402">
        <v>4</v>
      </c>
      <c r="R402" t="s">
        <v>1543</v>
      </c>
      <c r="S402" t="s">
        <v>1544</v>
      </c>
      <c r="T402">
        <f>I402*-0.5+M402*0.5</f>
        <v>0.14000000000000001</v>
      </c>
      <c r="U402">
        <f>I402*0.7+M402*-0.25+D402*-0.25</f>
        <v>0.12219999999999995</v>
      </c>
      <c r="V402">
        <f>J402*0.5+I402*-0.5</f>
        <v>-0.18099999999999999</v>
      </c>
      <c r="W402">
        <f>M402*0.5+G402*0.25+I402*0.25</f>
        <v>0.6825</v>
      </c>
    </row>
    <row r="403" spans="1:23" x14ac:dyDescent="0.2">
      <c r="A403">
        <v>0.26700000000000002</v>
      </c>
      <c r="B403">
        <v>5</v>
      </c>
      <c r="C403">
        <v>4</v>
      </c>
      <c r="D403">
        <v>5.0799999999999998E-2</v>
      </c>
      <c r="E403">
        <v>-4.0090000000000003</v>
      </c>
      <c r="F403">
        <v>208500</v>
      </c>
      <c r="G403">
        <v>0.82499999999999996</v>
      </c>
      <c r="H403">
        <v>208</v>
      </c>
      <c r="I403">
        <v>0.63</v>
      </c>
      <c r="J403">
        <v>0.13300000000000001</v>
      </c>
      <c r="K403" t="s">
        <v>1086</v>
      </c>
      <c r="L403">
        <v>25</v>
      </c>
      <c r="M403">
        <v>0.90900000000000003</v>
      </c>
      <c r="N403">
        <v>128.00299999999999</v>
      </c>
      <c r="O403">
        <v>0</v>
      </c>
      <c r="P403">
        <v>0</v>
      </c>
      <c r="Q403">
        <v>10</v>
      </c>
      <c r="R403" t="s">
        <v>1087</v>
      </c>
      <c r="S403" t="s">
        <v>1088</v>
      </c>
      <c r="T403">
        <f>I403*-0.5+M403*0.5</f>
        <v>0.13950000000000001</v>
      </c>
      <c r="U403">
        <f>I403*0.7+M403*-0.25+D403*-0.25</f>
        <v>0.20104999999999995</v>
      </c>
      <c r="V403">
        <f>J403*0.5+I403*-0.5</f>
        <v>-0.2485</v>
      </c>
      <c r="W403">
        <f>M403*0.5+G403*0.25+I403*0.25</f>
        <v>0.81824999999999992</v>
      </c>
    </row>
    <row r="404" spans="1:23" x14ac:dyDescent="0.2">
      <c r="A404">
        <v>3.1699999999999999E-2</v>
      </c>
      <c r="B404">
        <v>0</v>
      </c>
      <c r="C404">
        <v>4</v>
      </c>
      <c r="D404">
        <v>0.157</v>
      </c>
      <c r="E404">
        <v>-5.3959999999999999</v>
      </c>
      <c r="F404">
        <v>210307</v>
      </c>
      <c r="G404">
        <v>0.69099999999999995</v>
      </c>
      <c r="H404">
        <v>208</v>
      </c>
      <c r="I404">
        <v>0.46400000000000002</v>
      </c>
      <c r="J404">
        <v>0.114</v>
      </c>
      <c r="K404" t="s">
        <v>1323</v>
      </c>
      <c r="L404">
        <v>54</v>
      </c>
      <c r="M404">
        <v>0.74299999999999999</v>
      </c>
      <c r="N404">
        <v>115.04300000000001</v>
      </c>
      <c r="O404">
        <v>0</v>
      </c>
      <c r="P404">
        <v>1</v>
      </c>
      <c r="Q404">
        <v>19</v>
      </c>
      <c r="R404" t="s">
        <v>1324</v>
      </c>
      <c r="S404" t="s">
        <v>1325</v>
      </c>
      <c r="T404">
        <f>I404*-0.5+M404*0.5</f>
        <v>0.13949999999999999</v>
      </c>
      <c r="U404">
        <f>I404*0.7+M404*-0.25+D404*-0.25</f>
        <v>9.9799999999999972E-2</v>
      </c>
      <c r="V404">
        <f>J404*0.5+I404*-0.5</f>
        <v>-0.17500000000000002</v>
      </c>
      <c r="W404">
        <f>M404*0.5+G404*0.25+I404*0.25</f>
        <v>0.66025</v>
      </c>
    </row>
    <row r="405" spans="1:23" x14ac:dyDescent="0.2">
      <c r="A405">
        <v>2.86E-2</v>
      </c>
      <c r="B405">
        <v>7</v>
      </c>
      <c r="C405">
        <v>4</v>
      </c>
      <c r="D405">
        <v>9.7900000000000001E-2</v>
      </c>
      <c r="E405">
        <v>-3.819</v>
      </c>
      <c r="F405">
        <v>225000</v>
      </c>
      <c r="G405">
        <v>0.56299999999999994</v>
      </c>
      <c r="H405">
        <v>217</v>
      </c>
      <c r="I405">
        <v>0.63200000000000001</v>
      </c>
      <c r="J405">
        <v>2.7999999999999998E-4</v>
      </c>
      <c r="K405" t="s">
        <v>631</v>
      </c>
      <c r="L405">
        <v>13</v>
      </c>
      <c r="M405">
        <v>0.91</v>
      </c>
      <c r="N405">
        <v>110.839</v>
      </c>
      <c r="O405">
        <v>2.9E-4</v>
      </c>
      <c r="P405">
        <v>1</v>
      </c>
      <c r="Q405">
        <v>13</v>
      </c>
      <c r="R405" t="s">
        <v>632</v>
      </c>
      <c r="S405" t="s">
        <v>633</v>
      </c>
      <c r="T405">
        <f>I405*-0.5+M405*0.5</f>
        <v>0.13900000000000001</v>
      </c>
      <c r="U405">
        <f>I405*0.7+M405*-0.25+D405*-0.25</f>
        <v>0.19042499999999996</v>
      </c>
      <c r="V405">
        <f>J405*0.5+I405*-0.5</f>
        <v>-0.31586000000000003</v>
      </c>
      <c r="W405">
        <f>M405*0.5+G405*0.25+I405*0.25</f>
        <v>0.75375000000000003</v>
      </c>
    </row>
    <row r="406" spans="1:23" x14ac:dyDescent="0.2">
      <c r="A406">
        <v>0.107</v>
      </c>
      <c r="B406">
        <v>0</v>
      </c>
      <c r="C406">
        <v>4</v>
      </c>
      <c r="D406">
        <v>0.35599999999999998</v>
      </c>
      <c r="E406">
        <v>-3.3210000000000002</v>
      </c>
      <c r="F406">
        <v>229467</v>
      </c>
      <c r="G406">
        <v>0.55700000000000005</v>
      </c>
      <c r="H406">
        <v>226</v>
      </c>
      <c r="I406">
        <v>0.6</v>
      </c>
      <c r="J406">
        <v>7.4800000000000005E-2</v>
      </c>
      <c r="K406" t="s">
        <v>937</v>
      </c>
      <c r="L406">
        <v>44</v>
      </c>
      <c r="M406">
        <v>0.877</v>
      </c>
      <c r="N406">
        <v>139.81700000000001</v>
      </c>
      <c r="O406">
        <v>0</v>
      </c>
      <c r="P406">
        <v>0</v>
      </c>
      <c r="Q406">
        <v>6</v>
      </c>
      <c r="R406" t="s">
        <v>938</v>
      </c>
      <c r="S406" t="s">
        <v>939</v>
      </c>
      <c r="T406">
        <f>I406*-0.5+M406*0.5</f>
        <v>0.13850000000000001</v>
      </c>
      <c r="U406">
        <f>I406*0.7+M406*-0.25+D406*-0.25</f>
        <v>0.11174999999999999</v>
      </c>
      <c r="V406">
        <f>J406*0.5+I406*-0.5</f>
        <v>-0.2626</v>
      </c>
      <c r="W406">
        <f>M406*0.5+G406*0.25+I406*0.25</f>
        <v>0.72775000000000001</v>
      </c>
    </row>
    <row r="407" spans="1:23" x14ac:dyDescent="0.2">
      <c r="A407">
        <v>4.5600000000000002E-2</v>
      </c>
      <c r="B407">
        <v>11</v>
      </c>
      <c r="C407">
        <v>4</v>
      </c>
      <c r="D407">
        <v>9.3899999999999997E-2</v>
      </c>
      <c r="E407">
        <v>-4.2750000000000004</v>
      </c>
      <c r="F407">
        <v>202747</v>
      </c>
      <c r="G407">
        <v>0.58399999999999996</v>
      </c>
      <c r="H407">
        <v>203</v>
      </c>
      <c r="I407">
        <v>0.42499999999999999</v>
      </c>
      <c r="J407">
        <v>0.11700000000000001</v>
      </c>
      <c r="K407" t="s">
        <v>1461</v>
      </c>
      <c r="L407">
        <v>58</v>
      </c>
      <c r="M407">
        <v>0.7</v>
      </c>
      <c r="N407">
        <v>124.944</v>
      </c>
      <c r="O407">
        <v>0</v>
      </c>
      <c r="P407">
        <v>1</v>
      </c>
      <c r="Q407">
        <v>6</v>
      </c>
      <c r="R407" t="s">
        <v>1462</v>
      </c>
      <c r="S407" t="s">
        <v>1463</v>
      </c>
      <c r="T407">
        <f>I407*-0.5+M407*0.5</f>
        <v>0.13749999999999998</v>
      </c>
      <c r="U407">
        <f>I407*0.7+M407*-0.25+D407*-0.25</f>
        <v>9.9025000000000002E-2</v>
      </c>
      <c r="V407">
        <f>J407*0.5+I407*-0.5</f>
        <v>-0.154</v>
      </c>
      <c r="W407">
        <f>M407*0.5+G407*0.25+I407*0.25</f>
        <v>0.60224999999999995</v>
      </c>
    </row>
    <row r="408" spans="1:23" x14ac:dyDescent="0.2">
      <c r="A408">
        <v>0.161</v>
      </c>
      <c r="B408">
        <v>1</v>
      </c>
      <c r="C408">
        <v>4</v>
      </c>
      <c r="D408">
        <v>0.38500000000000001</v>
      </c>
      <c r="E408">
        <v>-5.2830000000000004</v>
      </c>
      <c r="F408">
        <v>242013</v>
      </c>
      <c r="G408">
        <v>0.84499999999999997</v>
      </c>
      <c r="H408">
        <v>239</v>
      </c>
      <c r="I408">
        <v>0.32700000000000001</v>
      </c>
      <c r="J408">
        <v>2.0500000000000001E-2</v>
      </c>
      <c r="K408" t="s">
        <v>1275</v>
      </c>
      <c r="L408">
        <v>37</v>
      </c>
      <c r="M408">
        <v>0.60099999999999998</v>
      </c>
      <c r="N408">
        <v>74.007999999999996</v>
      </c>
      <c r="O408">
        <v>0</v>
      </c>
      <c r="P408">
        <v>1</v>
      </c>
      <c r="Q408">
        <v>13</v>
      </c>
      <c r="R408" t="s">
        <v>1276</v>
      </c>
      <c r="S408" t="s">
        <v>1277</v>
      </c>
      <c r="T408">
        <f>I408*-0.5+M408*0.5</f>
        <v>0.13699999999999998</v>
      </c>
      <c r="U408">
        <f>I408*0.7+M408*-0.25+D408*-0.25</f>
        <v>-1.7600000000000005E-2</v>
      </c>
      <c r="V408">
        <f>J408*0.5+I408*-0.5</f>
        <v>-0.15325</v>
      </c>
      <c r="W408">
        <f>M408*0.5+G408*0.25+I408*0.25</f>
        <v>0.59349999999999992</v>
      </c>
    </row>
    <row r="409" spans="1:23" x14ac:dyDescent="0.2">
      <c r="A409">
        <v>3.5400000000000001E-2</v>
      </c>
      <c r="B409">
        <v>6</v>
      </c>
      <c r="C409">
        <v>3</v>
      </c>
      <c r="D409">
        <v>0.187</v>
      </c>
      <c r="E409">
        <v>-9.8689999999999998</v>
      </c>
      <c r="F409">
        <v>341800</v>
      </c>
      <c r="G409">
        <v>0.436</v>
      </c>
      <c r="H409">
        <v>258</v>
      </c>
      <c r="I409">
        <v>5.9400000000000001E-2</v>
      </c>
      <c r="J409">
        <v>0.72199999999999998</v>
      </c>
      <c r="K409" t="s">
        <v>3032</v>
      </c>
      <c r="L409">
        <v>10</v>
      </c>
      <c r="M409">
        <v>0.33300000000000002</v>
      </c>
      <c r="N409">
        <v>119.483</v>
      </c>
      <c r="O409" s="1">
        <v>9.6099999999999995E-6</v>
      </c>
      <c r="P409">
        <v>1</v>
      </c>
      <c r="Q409">
        <v>16</v>
      </c>
      <c r="R409" t="s">
        <v>3033</v>
      </c>
      <c r="S409" t="s">
        <v>3034</v>
      </c>
      <c r="T409">
        <f>I409*-0.5+M409*0.5</f>
        <v>0.1368</v>
      </c>
      <c r="U409">
        <f>I409*0.7+M409*-0.25+D409*-0.25</f>
        <v>-8.8419999999999999E-2</v>
      </c>
      <c r="V409">
        <f>J409*0.5+I409*-0.5</f>
        <v>0.33129999999999998</v>
      </c>
      <c r="W409">
        <f>M409*0.5+G409*0.25+I409*0.25</f>
        <v>0.29035</v>
      </c>
    </row>
    <row r="410" spans="1:23" x14ac:dyDescent="0.2">
      <c r="A410">
        <v>3.5999999999999997E-2</v>
      </c>
      <c r="B410">
        <v>2</v>
      </c>
      <c r="C410">
        <v>4</v>
      </c>
      <c r="D410">
        <v>0.104</v>
      </c>
      <c r="E410">
        <v>-5.8570000000000002</v>
      </c>
      <c r="F410">
        <v>271813</v>
      </c>
      <c r="G410">
        <v>0.55800000000000005</v>
      </c>
      <c r="H410">
        <v>270</v>
      </c>
      <c r="I410">
        <v>0.249</v>
      </c>
      <c r="J410">
        <v>0.22800000000000001</v>
      </c>
      <c r="K410" t="s">
        <v>2145</v>
      </c>
      <c r="L410">
        <v>47</v>
      </c>
      <c r="M410">
        <v>0.52200000000000002</v>
      </c>
      <c r="N410">
        <v>83.977000000000004</v>
      </c>
      <c r="O410">
        <v>0</v>
      </c>
      <c r="P410">
        <v>1</v>
      </c>
      <c r="Q410">
        <v>7</v>
      </c>
      <c r="R410" t="s">
        <v>2146</v>
      </c>
      <c r="S410" t="s">
        <v>2147</v>
      </c>
      <c r="T410">
        <f>I410*-0.5+M410*0.5</f>
        <v>0.13650000000000001</v>
      </c>
      <c r="U410">
        <f>I410*0.7+M410*-0.25+D410*-0.25</f>
        <v>1.7799999999999979E-2</v>
      </c>
      <c r="V410">
        <f>J410*0.5+I410*-0.5</f>
        <v>-1.0499999999999995E-2</v>
      </c>
      <c r="W410">
        <f>M410*0.5+G410*0.25+I410*0.25</f>
        <v>0.46274999999999999</v>
      </c>
    </row>
    <row r="411" spans="1:23" x14ac:dyDescent="0.2">
      <c r="A411">
        <v>5.7200000000000001E-2</v>
      </c>
      <c r="B411">
        <v>0</v>
      </c>
      <c r="C411">
        <v>4</v>
      </c>
      <c r="D411">
        <v>0.30499999999999999</v>
      </c>
      <c r="E411">
        <v>-3.1890000000000001</v>
      </c>
      <c r="F411">
        <v>236880</v>
      </c>
      <c r="G411">
        <v>0.45800000000000002</v>
      </c>
      <c r="H411">
        <v>238</v>
      </c>
      <c r="I411">
        <v>0.628</v>
      </c>
      <c r="J411">
        <v>2.7900000000000001E-2</v>
      </c>
      <c r="K411" t="s">
        <v>731</v>
      </c>
      <c r="L411">
        <v>1</v>
      </c>
      <c r="M411">
        <v>0.9</v>
      </c>
      <c r="N411">
        <v>169.63900000000001</v>
      </c>
      <c r="O411">
        <v>1.2899999999999999E-3</v>
      </c>
      <c r="P411">
        <v>1</v>
      </c>
      <c r="Q411">
        <v>15</v>
      </c>
      <c r="R411" t="s">
        <v>547</v>
      </c>
      <c r="S411" t="s">
        <v>732</v>
      </c>
      <c r="T411">
        <f>I411*-0.5+M411*0.5</f>
        <v>0.13600000000000001</v>
      </c>
      <c r="U411">
        <f>I411*0.7+M411*-0.25+D411*-0.25</f>
        <v>0.13834999999999997</v>
      </c>
      <c r="V411">
        <f>J411*0.5+I411*-0.5</f>
        <v>-0.30004999999999998</v>
      </c>
      <c r="W411">
        <f>M411*0.5+G411*0.25+I411*0.25</f>
        <v>0.72150000000000003</v>
      </c>
    </row>
    <row r="412" spans="1:23" x14ac:dyDescent="0.2">
      <c r="A412">
        <v>2.76E-2</v>
      </c>
      <c r="B412">
        <v>3</v>
      </c>
      <c r="C412">
        <v>4</v>
      </c>
      <c r="D412">
        <v>0.41399999999999998</v>
      </c>
      <c r="E412">
        <v>-4.0880000000000001</v>
      </c>
      <c r="F412">
        <v>219320</v>
      </c>
      <c r="G412">
        <v>0.441</v>
      </c>
      <c r="H412">
        <v>217</v>
      </c>
      <c r="I412">
        <v>0.54300000000000004</v>
      </c>
      <c r="J412">
        <v>7.3099999999999999E-4</v>
      </c>
      <c r="K412" t="s">
        <v>807</v>
      </c>
      <c r="L412">
        <v>22</v>
      </c>
      <c r="M412">
        <v>0.81499999999999995</v>
      </c>
      <c r="N412">
        <v>164.02099999999999</v>
      </c>
      <c r="O412">
        <v>0</v>
      </c>
      <c r="P412">
        <v>1</v>
      </c>
      <c r="Q412">
        <v>19</v>
      </c>
      <c r="R412" t="s">
        <v>38</v>
      </c>
      <c r="S412" t="s">
        <v>808</v>
      </c>
      <c r="T412">
        <f>I412*-0.5+M412*0.5</f>
        <v>0.13599999999999995</v>
      </c>
      <c r="U412">
        <f>I412*0.7+M412*-0.25+D412*-0.25</f>
        <v>7.2850000000000012E-2</v>
      </c>
      <c r="V412">
        <f>J412*0.5+I412*-0.5</f>
        <v>-0.2711345</v>
      </c>
      <c r="W412">
        <f>M412*0.5+G412*0.25+I412*0.25</f>
        <v>0.65349999999999997</v>
      </c>
    </row>
    <row r="413" spans="1:23" x14ac:dyDescent="0.2">
      <c r="A413">
        <v>3.5999999999999997E-2</v>
      </c>
      <c r="B413">
        <v>2</v>
      </c>
      <c r="C413">
        <v>4</v>
      </c>
      <c r="D413">
        <v>0.314</v>
      </c>
      <c r="E413">
        <v>-2.298</v>
      </c>
      <c r="F413">
        <v>209014</v>
      </c>
      <c r="G413">
        <v>0.63500000000000001</v>
      </c>
      <c r="H413">
        <v>205</v>
      </c>
      <c r="I413">
        <v>0.67300000000000004</v>
      </c>
      <c r="J413">
        <v>4.1099999999999999E-3</v>
      </c>
      <c r="K413" t="s">
        <v>605</v>
      </c>
      <c r="L413">
        <v>59</v>
      </c>
      <c r="M413">
        <v>0.94499999999999995</v>
      </c>
      <c r="N413">
        <v>125.024</v>
      </c>
      <c r="O413" s="1">
        <v>2.41E-5</v>
      </c>
      <c r="P413">
        <v>1</v>
      </c>
      <c r="Q413">
        <v>18</v>
      </c>
      <c r="R413" t="s">
        <v>606</v>
      </c>
      <c r="S413" t="s">
        <v>607</v>
      </c>
      <c r="T413">
        <f>I413*-0.5+M413*0.5</f>
        <v>0.13599999999999995</v>
      </c>
      <c r="U413">
        <f>I413*0.7+M413*-0.25+D413*-0.25</f>
        <v>0.15635000000000004</v>
      </c>
      <c r="V413">
        <f>J413*0.5+I413*-0.5</f>
        <v>-0.33444500000000005</v>
      </c>
      <c r="W413">
        <f>M413*0.5+G413*0.25+I413*0.25</f>
        <v>0.79949999999999999</v>
      </c>
    </row>
    <row r="414" spans="1:23" x14ac:dyDescent="0.2">
      <c r="A414">
        <v>4.3700000000000003E-2</v>
      </c>
      <c r="B414">
        <v>9</v>
      </c>
      <c r="C414">
        <v>3</v>
      </c>
      <c r="D414">
        <v>0.2</v>
      </c>
      <c r="E414">
        <v>-5.1920000000000002</v>
      </c>
      <c r="F414">
        <v>178360</v>
      </c>
      <c r="G414">
        <v>0.39</v>
      </c>
      <c r="H414">
        <v>178</v>
      </c>
      <c r="I414">
        <v>0.53200000000000003</v>
      </c>
      <c r="J414">
        <v>7.2800000000000002E-4</v>
      </c>
      <c r="K414" t="s">
        <v>824</v>
      </c>
      <c r="L414">
        <v>11</v>
      </c>
      <c r="M414">
        <v>0.80300000000000005</v>
      </c>
      <c r="N414">
        <v>103.544</v>
      </c>
      <c r="O414" s="1">
        <v>2.5500000000000001E-6</v>
      </c>
      <c r="P414">
        <v>0</v>
      </c>
      <c r="Q414">
        <v>16</v>
      </c>
      <c r="R414" t="s">
        <v>105</v>
      </c>
      <c r="S414" t="s">
        <v>825</v>
      </c>
      <c r="T414">
        <f>I414*-0.5+M414*0.5</f>
        <v>0.13550000000000001</v>
      </c>
      <c r="U414">
        <f>I414*0.7+M414*-0.25+D414*-0.25</f>
        <v>0.12164999999999999</v>
      </c>
      <c r="V414">
        <f>J414*0.5+I414*-0.5</f>
        <v>-0.26563600000000004</v>
      </c>
      <c r="W414">
        <f>M414*0.5+G414*0.25+I414*0.25</f>
        <v>0.63200000000000001</v>
      </c>
    </row>
    <row r="415" spans="1:23" x14ac:dyDescent="0.2">
      <c r="A415">
        <v>2.7900000000000001E-2</v>
      </c>
      <c r="B415">
        <v>7</v>
      </c>
      <c r="C415">
        <v>4</v>
      </c>
      <c r="D415">
        <v>0.26400000000000001</v>
      </c>
      <c r="E415">
        <v>-7.4820000000000002</v>
      </c>
      <c r="F415">
        <v>244667</v>
      </c>
      <c r="G415">
        <v>0.63600000000000001</v>
      </c>
      <c r="H415">
        <v>246</v>
      </c>
      <c r="I415">
        <v>0.29099999999999998</v>
      </c>
      <c r="J415">
        <v>0.58599999999999997</v>
      </c>
      <c r="K415" t="s">
        <v>2837</v>
      </c>
      <c r="L415">
        <v>15</v>
      </c>
      <c r="M415">
        <v>0.56100000000000005</v>
      </c>
      <c r="N415">
        <v>120.471</v>
      </c>
      <c r="O415" s="1">
        <v>1.5099999999999999E-5</v>
      </c>
      <c r="P415">
        <v>1</v>
      </c>
      <c r="Q415">
        <v>20</v>
      </c>
      <c r="R415" t="s">
        <v>2838</v>
      </c>
      <c r="S415" t="s">
        <v>2839</v>
      </c>
      <c r="T415">
        <f>I415*-0.5+M415*0.5</f>
        <v>0.13500000000000004</v>
      </c>
      <c r="U415">
        <f>I415*0.7+M415*-0.25+D415*-0.25</f>
        <v>-2.5500000000000522E-3</v>
      </c>
      <c r="V415">
        <f>J415*0.5+I415*-0.5</f>
        <v>0.14749999999999999</v>
      </c>
      <c r="W415">
        <f>M415*0.5+G415*0.25+I415*0.25</f>
        <v>0.51224999999999998</v>
      </c>
    </row>
    <row r="416" spans="1:23" x14ac:dyDescent="0.2">
      <c r="A416">
        <v>6.8900000000000003E-2</v>
      </c>
      <c r="B416">
        <v>1</v>
      </c>
      <c r="C416">
        <v>4</v>
      </c>
      <c r="D416">
        <v>3.15E-2</v>
      </c>
      <c r="E416">
        <v>-3.609</v>
      </c>
      <c r="F416">
        <v>205640</v>
      </c>
      <c r="G416">
        <v>0.73499999999999999</v>
      </c>
      <c r="H416">
        <v>202</v>
      </c>
      <c r="I416">
        <v>0.58899999999999997</v>
      </c>
      <c r="J416">
        <v>4.65E-2</v>
      </c>
      <c r="K416" t="s">
        <v>893</v>
      </c>
      <c r="L416">
        <v>44</v>
      </c>
      <c r="M416">
        <v>0.85799999999999998</v>
      </c>
      <c r="N416">
        <v>124.991</v>
      </c>
      <c r="O416" s="1">
        <v>4.2899999999999996E-6</v>
      </c>
      <c r="P416">
        <v>0</v>
      </c>
      <c r="Q416">
        <v>8</v>
      </c>
      <c r="R416" t="s">
        <v>894</v>
      </c>
      <c r="S416" t="s">
        <v>895</v>
      </c>
      <c r="T416">
        <f>I416*-0.5+M416*0.5</f>
        <v>0.13450000000000001</v>
      </c>
      <c r="U416">
        <f>I416*0.7+M416*-0.25+D416*-0.25</f>
        <v>0.18992499999999995</v>
      </c>
      <c r="V416">
        <f>J416*0.5+I416*-0.5</f>
        <v>-0.27124999999999999</v>
      </c>
      <c r="W416">
        <f>M416*0.5+G416*0.25+I416*0.25</f>
        <v>0.76</v>
      </c>
    </row>
    <row r="417" spans="1:23" x14ac:dyDescent="0.2">
      <c r="A417">
        <v>3.0599999999999999E-2</v>
      </c>
      <c r="B417">
        <v>11</v>
      </c>
      <c r="C417">
        <v>4</v>
      </c>
      <c r="D417">
        <v>0.16500000000000001</v>
      </c>
      <c r="E417">
        <v>-5.0540000000000003</v>
      </c>
      <c r="F417">
        <v>233827</v>
      </c>
      <c r="G417">
        <v>0.54500000000000004</v>
      </c>
      <c r="H417">
        <v>233</v>
      </c>
      <c r="I417">
        <v>0.59099999999999997</v>
      </c>
      <c r="J417">
        <v>6.2399999999999999E-3</v>
      </c>
      <c r="K417" t="s">
        <v>738</v>
      </c>
      <c r="L417">
        <v>5</v>
      </c>
      <c r="M417">
        <v>0.86</v>
      </c>
      <c r="N417">
        <v>99.031000000000006</v>
      </c>
      <c r="O417" s="1">
        <v>2.1800000000000001E-5</v>
      </c>
      <c r="P417">
        <v>0</v>
      </c>
      <c r="Q417">
        <v>17</v>
      </c>
      <c r="R417" t="s">
        <v>454</v>
      </c>
      <c r="S417" t="s">
        <v>739</v>
      </c>
      <c r="T417">
        <f>I417*-0.5+M417*0.5</f>
        <v>0.13450000000000001</v>
      </c>
      <c r="U417">
        <f>I417*0.7+M417*-0.25+D417*-0.25</f>
        <v>0.15744999999999995</v>
      </c>
      <c r="V417">
        <f>J417*0.5+I417*-0.5</f>
        <v>-0.29237999999999997</v>
      </c>
      <c r="W417">
        <f>M417*0.5+G417*0.25+I417*0.25</f>
        <v>0.71399999999999997</v>
      </c>
    </row>
    <row r="418" spans="1:23" x14ac:dyDescent="0.2">
      <c r="A418">
        <v>3.6799999999999999E-2</v>
      </c>
      <c r="B418">
        <v>8</v>
      </c>
      <c r="C418">
        <v>4</v>
      </c>
      <c r="D418">
        <v>0.41199999999999998</v>
      </c>
      <c r="E418">
        <v>-4.6319999999999997</v>
      </c>
      <c r="F418">
        <v>252600</v>
      </c>
      <c r="G418">
        <v>0.51500000000000001</v>
      </c>
      <c r="H418">
        <v>252</v>
      </c>
      <c r="I418">
        <v>0.63900000000000001</v>
      </c>
      <c r="J418">
        <v>1.5800000000000002E-2</v>
      </c>
      <c r="K418" t="s">
        <v>702</v>
      </c>
      <c r="L418">
        <v>5</v>
      </c>
      <c r="M418">
        <v>0.90800000000000003</v>
      </c>
      <c r="N418">
        <v>150.03100000000001</v>
      </c>
      <c r="O418" s="1">
        <v>1.88E-5</v>
      </c>
      <c r="P418">
        <v>1</v>
      </c>
      <c r="Q418">
        <v>13</v>
      </c>
      <c r="R418" t="s">
        <v>703</v>
      </c>
      <c r="S418" t="s">
        <v>704</v>
      </c>
      <c r="T418">
        <f>I418*-0.5+M418*0.5</f>
        <v>0.13450000000000001</v>
      </c>
      <c r="U418">
        <f>I418*0.7+M418*-0.25+D418*-0.25</f>
        <v>0.11729999999999997</v>
      </c>
      <c r="V418">
        <f>J418*0.5+I418*-0.5</f>
        <v>-0.31159999999999999</v>
      </c>
      <c r="W418">
        <f>M418*0.5+G418*0.25+I418*0.25</f>
        <v>0.74249999999999994</v>
      </c>
    </row>
    <row r="419" spans="1:23" x14ac:dyDescent="0.2">
      <c r="A419">
        <v>2.98E-2</v>
      </c>
      <c r="B419">
        <v>5</v>
      </c>
      <c r="C419">
        <v>4</v>
      </c>
      <c r="D419">
        <v>0.224</v>
      </c>
      <c r="E419">
        <v>-4.6509999999999998</v>
      </c>
      <c r="F419">
        <v>220160</v>
      </c>
      <c r="G419">
        <v>0.70399999999999996</v>
      </c>
      <c r="H419">
        <v>216</v>
      </c>
      <c r="I419">
        <v>0.56999999999999995</v>
      </c>
      <c r="J419">
        <v>5.7299999999999999E-3</v>
      </c>
      <c r="K419" t="s">
        <v>798</v>
      </c>
      <c r="L419">
        <v>35</v>
      </c>
      <c r="M419">
        <v>0.83699999999999997</v>
      </c>
      <c r="N419">
        <v>129.90199999999999</v>
      </c>
      <c r="O419">
        <v>0</v>
      </c>
      <c r="P419">
        <v>1</v>
      </c>
      <c r="Q419">
        <v>2</v>
      </c>
      <c r="R419" t="s">
        <v>799</v>
      </c>
      <c r="S419" t="s">
        <v>800</v>
      </c>
      <c r="T419">
        <f>I419*-0.5+M419*0.5</f>
        <v>0.13350000000000001</v>
      </c>
      <c r="U419">
        <f>I419*0.7+M419*-0.25+D419*-0.25</f>
        <v>0.13374999999999998</v>
      </c>
      <c r="V419">
        <f>J419*0.5+I419*-0.5</f>
        <v>-0.28213499999999997</v>
      </c>
      <c r="W419">
        <f>M419*0.5+G419*0.25+I419*0.25</f>
        <v>0.73699999999999999</v>
      </c>
    </row>
    <row r="420" spans="1:23" x14ac:dyDescent="0.2">
      <c r="A420">
        <v>3.39E-2</v>
      </c>
      <c r="B420">
        <v>2</v>
      </c>
      <c r="C420">
        <v>4</v>
      </c>
      <c r="D420">
        <v>7.1900000000000006E-2</v>
      </c>
      <c r="E420">
        <v>-3.472</v>
      </c>
      <c r="F420">
        <v>241348</v>
      </c>
      <c r="G420">
        <v>0.61299999999999999</v>
      </c>
      <c r="H420">
        <v>237</v>
      </c>
      <c r="I420">
        <v>0.36799999999999999</v>
      </c>
      <c r="J420">
        <v>1.78E-2</v>
      </c>
      <c r="K420" t="s">
        <v>1242</v>
      </c>
      <c r="L420">
        <v>32</v>
      </c>
      <c r="M420">
        <v>0.63400000000000001</v>
      </c>
      <c r="N420">
        <v>144.953</v>
      </c>
      <c r="O420">
        <v>0</v>
      </c>
      <c r="P420">
        <v>1</v>
      </c>
      <c r="Q420">
        <v>13</v>
      </c>
      <c r="R420" t="s">
        <v>1243</v>
      </c>
      <c r="S420" t="s">
        <v>1244</v>
      </c>
      <c r="T420">
        <f>I420*-0.5+M420*0.5</f>
        <v>0.13300000000000001</v>
      </c>
      <c r="U420">
        <f>I420*0.7+M420*-0.25+D420*-0.25</f>
        <v>8.1124999999999989E-2</v>
      </c>
      <c r="V420">
        <f>J420*0.5+I420*-0.5</f>
        <v>-0.17510000000000001</v>
      </c>
      <c r="W420">
        <f>M420*0.5+G420*0.25+I420*0.25</f>
        <v>0.56225000000000003</v>
      </c>
    </row>
    <row r="421" spans="1:23" x14ac:dyDescent="0.2">
      <c r="A421">
        <v>6.0900000000000003E-2</v>
      </c>
      <c r="B421">
        <v>1</v>
      </c>
      <c r="C421">
        <v>4</v>
      </c>
      <c r="D421">
        <v>0.16700000000000001</v>
      </c>
      <c r="E421">
        <v>-4.17</v>
      </c>
      <c r="F421">
        <v>297587</v>
      </c>
      <c r="G421">
        <v>0.59599999999999997</v>
      </c>
      <c r="H421">
        <v>260</v>
      </c>
      <c r="I421">
        <v>0.495</v>
      </c>
      <c r="J421">
        <v>0.22600000000000001</v>
      </c>
      <c r="K421" t="s">
        <v>1810</v>
      </c>
      <c r="L421">
        <v>12</v>
      </c>
      <c r="M421">
        <v>0.76100000000000001</v>
      </c>
      <c r="N421">
        <v>121.792</v>
      </c>
      <c r="O421">
        <v>0</v>
      </c>
      <c r="P421">
        <v>0</v>
      </c>
      <c r="Q421">
        <v>12</v>
      </c>
      <c r="R421" t="s">
        <v>1811</v>
      </c>
      <c r="S421" t="s">
        <v>1812</v>
      </c>
      <c r="T421">
        <f>I421*-0.5+M421*0.5</f>
        <v>0.13300000000000001</v>
      </c>
      <c r="U421">
        <f>I421*0.7+M421*-0.25+D421*-0.25</f>
        <v>0.11449999999999996</v>
      </c>
      <c r="V421">
        <f>J421*0.5+I421*-0.5</f>
        <v>-0.13450000000000001</v>
      </c>
      <c r="W421">
        <f>M421*0.5+G421*0.25+I421*0.25</f>
        <v>0.65325</v>
      </c>
    </row>
    <row r="422" spans="1:23" x14ac:dyDescent="0.2">
      <c r="A422">
        <v>7.5700000000000003E-2</v>
      </c>
      <c r="B422">
        <v>8</v>
      </c>
      <c r="C422">
        <v>4</v>
      </c>
      <c r="D422">
        <v>0.248</v>
      </c>
      <c r="E422">
        <v>-4.7350000000000003</v>
      </c>
      <c r="F422">
        <v>210840</v>
      </c>
      <c r="G422">
        <v>0.503</v>
      </c>
      <c r="H422">
        <v>208</v>
      </c>
      <c r="I422">
        <v>0.53500000000000003</v>
      </c>
      <c r="J422">
        <v>7.8100000000000003E-2</v>
      </c>
      <c r="K422" t="s">
        <v>1142</v>
      </c>
      <c r="L422">
        <v>47</v>
      </c>
      <c r="M422">
        <v>0.80100000000000005</v>
      </c>
      <c r="N422">
        <v>173.93700000000001</v>
      </c>
      <c r="O422">
        <v>0</v>
      </c>
      <c r="P422">
        <v>1</v>
      </c>
      <c r="Q422">
        <v>14</v>
      </c>
      <c r="R422" t="s">
        <v>397</v>
      </c>
      <c r="S422" t="s">
        <v>1143</v>
      </c>
      <c r="T422">
        <f>I422*-0.5+M422*0.5</f>
        <v>0.13300000000000001</v>
      </c>
      <c r="U422">
        <f>I422*0.7+M422*-0.25+D422*-0.25</f>
        <v>0.11224999999999999</v>
      </c>
      <c r="V422">
        <f>J422*0.5+I422*-0.5</f>
        <v>-0.22845000000000001</v>
      </c>
      <c r="W422">
        <f>M422*0.5+G422*0.25+I422*0.25</f>
        <v>0.66</v>
      </c>
    </row>
    <row r="423" spans="1:23" x14ac:dyDescent="0.2">
      <c r="A423">
        <v>2.7400000000000001E-2</v>
      </c>
      <c r="B423">
        <v>7</v>
      </c>
      <c r="C423">
        <v>4</v>
      </c>
      <c r="D423">
        <v>0.11</v>
      </c>
      <c r="E423">
        <v>-9.52</v>
      </c>
      <c r="F423">
        <v>265106</v>
      </c>
      <c r="G423">
        <v>0.63200000000000001</v>
      </c>
      <c r="H423">
        <v>263</v>
      </c>
      <c r="I423">
        <v>0.18099999999999999</v>
      </c>
      <c r="J423">
        <v>0.69299999999999995</v>
      </c>
      <c r="K423" t="s">
        <v>2997</v>
      </c>
      <c r="L423">
        <v>51</v>
      </c>
      <c r="M423">
        <v>0.44500000000000001</v>
      </c>
      <c r="N423">
        <v>102.52</v>
      </c>
      <c r="O423">
        <v>3.9699999999999996E-3</v>
      </c>
      <c r="P423">
        <v>1</v>
      </c>
      <c r="Q423">
        <v>17</v>
      </c>
      <c r="R423" t="s">
        <v>2998</v>
      </c>
      <c r="S423" t="s">
        <v>2999</v>
      </c>
      <c r="T423">
        <f>I423*-0.5+M423*0.5</f>
        <v>0.13200000000000001</v>
      </c>
      <c r="U423">
        <f>I423*0.7+M423*-0.25+D423*-0.25</f>
        <v>-1.2050000000000022E-2</v>
      </c>
      <c r="V423">
        <f>J423*0.5+I423*-0.5</f>
        <v>0.25600000000000001</v>
      </c>
      <c r="W423">
        <f>M423*0.5+G423*0.25+I423*0.25</f>
        <v>0.42575000000000002</v>
      </c>
    </row>
    <row r="424" spans="1:23" x14ac:dyDescent="0.2">
      <c r="A424">
        <v>4.1599999999999998E-2</v>
      </c>
      <c r="B424">
        <v>11</v>
      </c>
      <c r="C424">
        <v>4</v>
      </c>
      <c r="D424">
        <v>0.219</v>
      </c>
      <c r="E424">
        <v>-5.6310000000000002</v>
      </c>
      <c r="F424">
        <v>243707</v>
      </c>
      <c r="G424">
        <v>0.55100000000000005</v>
      </c>
      <c r="H424">
        <v>218</v>
      </c>
      <c r="I424">
        <v>0.45600000000000002</v>
      </c>
      <c r="J424">
        <v>8.6900000000000005E-2</v>
      </c>
      <c r="K424" t="s">
        <v>1330</v>
      </c>
      <c r="L424">
        <v>54</v>
      </c>
      <c r="M424">
        <v>0.71899999999999997</v>
      </c>
      <c r="N424">
        <v>158.08000000000001</v>
      </c>
      <c r="O424">
        <v>0</v>
      </c>
      <c r="P424">
        <v>1</v>
      </c>
      <c r="Q424">
        <v>16</v>
      </c>
      <c r="R424" t="s">
        <v>1331</v>
      </c>
      <c r="S424" t="s">
        <v>1332</v>
      </c>
      <c r="T424">
        <f>I424*-0.5+M424*0.5</f>
        <v>0.13149999999999998</v>
      </c>
      <c r="U424">
        <f>I424*0.7+M424*-0.25+D424*-0.25</f>
        <v>8.4699999999999998E-2</v>
      </c>
      <c r="V424">
        <f>J424*0.5+I424*-0.5</f>
        <v>-0.18454999999999999</v>
      </c>
      <c r="W424">
        <f>M424*0.5+G424*0.25+I424*0.25</f>
        <v>0.61124999999999996</v>
      </c>
    </row>
    <row r="425" spans="1:23" x14ac:dyDescent="0.2">
      <c r="A425">
        <v>0.13</v>
      </c>
      <c r="B425">
        <v>6</v>
      </c>
      <c r="C425">
        <v>4</v>
      </c>
      <c r="D425">
        <v>0.60199999999999998</v>
      </c>
      <c r="E425">
        <v>-3.8</v>
      </c>
      <c r="F425">
        <v>190560</v>
      </c>
      <c r="G425">
        <v>0.48899999999999999</v>
      </c>
      <c r="H425">
        <v>190</v>
      </c>
      <c r="I425">
        <v>0.60599999999999998</v>
      </c>
      <c r="J425">
        <v>5.5799999999999999E-3</v>
      </c>
      <c r="K425" t="s">
        <v>745</v>
      </c>
      <c r="L425">
        <v>30</v>
      </c>
      <c r="M425">
        <v>0.86799999999999999</v>
      </c>
      <c r="N425">
        <v>164.98</v>
      </c>
      <c r="O425">
        <v>0</v>
      </c>
      <c r="P425">
        <v>1</v>
      </c>
      <c r="Q425">
        <v>12</v>
      </c>
      <c r="R425" t="s">
        <v>620</v>
      </c>
      <c r="S425" t="s">
        <v>746</v>
      </c>
      <c r="T425">
        <f>I425*-0.5+M425*0.5</f>
        <v>0.13100000000000001</v>
      </c>
      <c r="U425">
        <f>I425*0.7+M425*-0.25+D425*-0.25</f>
        <v>5.6699999999999973E-2</v>
      </c>
      <c r="V425">
        <f>J425*0.5+I425*-0.5</f>
        <v>-0.30020999999999998</v>
      </c>
      <c r="W425">
        <f>M425*0.5+G425*0.25+I425*0.25</f>
        <v>0.70774999999999999</v>
      </c>
    </row>
    <row r="426" spans="1:23" x14ac:dyDescent="0.2">
      <c r="A426">
        <v>4.7500000000000001E-2</v>
      </c>
      <c r="B426">
        <v>0</v>
      </c>
      <c r="C426">
        <v>4</v>
      </c>
      <c r="D426">
        <v>0.112</v>
      </c>
      <c r="E426">
        <v>-4.282</v>
      </c>
      <c r="F426">
        <v>221947</v>
      </c>
      <c r="G426">
        <v>0.56200000000000006</v>
      </c>
      <c r="H426">
        <v>219</v>
      </c>
      <c r="I426">
        <v>0.67700000000000005</v>
      </c>
      <c r="J426">
        <v>4.5999999999999999E-2</v>
      </c>
      <c r="K426" t="s">
        <v>771</v>
      </c>
      <c r="L426">
        <v>42</v>
      </c>
      <c r="M426">
        <v>0.93899999999999995</v>
      </c>
      <c r="N426">
        <v>116.044</v>
      </c>
      <c r="O426">
        <v>0</v>
      </c>
      <c r="P426">
        <v>1</v>
      </c>
      <c r="Q426">
        <v>1</v>
      </c>
      <c r="R426" t="s">
        <v>211</v>
      </c>
      <c r="S426" t="s">
        <v>772</v>
      </c>
      <c r="T426">
        <f>I426*-0.5+M426*0.5</f>
        <v>0.13099999999999995</v>
      </c>
      <c r="U426">
        <f>I426*0.7+M426*-0.25+D426*-0.25</f>
        <v>0.21115</v>
      </c>
      <c r="V426">
        <f>J426*0.5+I426*-0.5</f>
        <v>-0.3155</v>
      </c>
      <c r="W426">
        <f>M426*0.5+G426*0.25+I426*0.25</f>
        <v>0.77925</v>
      </c>
    </row>
    <row r="427" spans="1:23" x14ac:dyDescent="0.2">
      <c r="A427">
        <v>4.7899999999999998E-2</v>
      </c>
      <c r="B427">
        <v>11</v>
      </c>
      <c r="C427">
        <v>4</v>
      </c>
      <c r="D427">
        <v>0.214</v>
      </c>
      <c r="E427">
        <v>-7.2290000000000001</v>
      </c>
      <c r="F427">
        <v>254880</v>
      </c>
      <c r="G427">
        <v>0.52600000000000002</v>
      </c>
      <c r="H427">
        <v>209</v>
      </c>
      <c r="I427">
        <v>0.51100000000000001</v>
      </c>
      <c r="J427">
        <v>3.4599999999999999E-2</v>
      </c>
      <c r="K427" t="s">
        <v>1043</v>
      </c>
      <c r="L427">
        <v>50</v>
      </c>
      <c r="M427">
        <v>0.77200000000000002</v>
      </c>
      <c r="N427">
        <v>85.876000000000005</v>
      </c>
      <c r="O427">
        <v>0</v>
      </c>
      <c r="P427">
        <v>0</v>
      </c>
      <c r="Q427">
        <v>3</v>
      </c>
      <c r="R427" t="s">
        <v>1044</v>
      </c>
      <c r="S427" t="s">
        <v>1045</v>
      </c>
      <c r="T427">
        <f>I427*-0.5+M427*0.5</f>
        <v>0.1305</v>
      </c>
      <c r="U427">
        <f>I427*0.7+M427*-0.25+D427*-0.25</f>
        <v>0.11119999999999997</v>
      </c>
      <c r="V427">
        <f>J427*0.5+I427*-0.5</f>
        <v>-0.2382</v>
      </c>
      <c r="W427">
        <f>M427*0.5+G427*0.25+I427*0.25</f>
        <v>0.6452500000000001</v>
      </c>
    </row>
    <row r="428" spans="1:23" x14ac:dyDescent="0.2">
      <c r="A428">
        <v>3.2000000000000001E-2</v>
      </c>
      <c r="B428">
        <v>6</v>
      </c>
      <c r="C428">
        <v>4</v>
      </c>
      <c r="D428">
        <v>0.20499999999999999</v>
      </c>
      <c r="E428">
        <v>-4.9509999999999996</v>
      </c>
      <c r="F428">
        <v>228720</v>
      </c>
      <c r="G428">
        <v>0.56100000000000005</v>
      </c>
      <c r="H428">
        <v>228</v>
      </c>
      <c r="I428">
        <v>0.48899999999999999</v>
      </c>
      <c r="J428">
        <v>0.46100000000000002</v>
      </c>
      <c r="K428" t="s">
        <v>2463</v>
      </c>
      <c r="L428">
        <v>50</v>
      </c>
      <c r="M428">
        <v>0.749</v>
      </c>
      <c r="N428">
        <v>125.986</v>
      </c>
      <c r="O428" s="1">
        <v>1.8199999999999999E-6</v>
      </c>
      <c r="P428">
        <v>0</v>
      </c>
      <c r="Q428">
        <v>12</v>
      </c>
      <c r="R428" t="s">
        <v>504</v>
      </c>
      <c r="S428" t="s">
        <v>2464</v>
      </c>
      <c r="T428">
        <f>I428*-0.5+M428*0.5</f>
        <v>0.13</v>
      </c>
      <c r="U428">
        <f>I428*0.7+M428*-0.25+D428*-0.25</f>
        <v>0.1038</v>
      </c>
      <c r="V428">
        <f>J428*0.5+I428*-0.5</f>
        <v>-1.3999999999999985E-2</v>
      </c>
      <c r="W428">
        <f>M428*0.5+G428*0.25+I428*0.25</f>
        <v>0.63700000000000001</v>
      </c>
    </row>
    <row r="429" spans="1:23" x14ac:dyDescent="0.2">
      <c r="A429">
        <v>4.2099999999999999E-2</v>
      </c>
      <c r="B429">
        <v>10</v>
      </c>
      <c r="C429">
        <v>4</v>
      </c>
      <c r="D429">
        <v>0.14799999999999999</v>
      </c>
      <c r="E429">
        <v>-5.6909999999999998</v>
      </c>
      <c r="F429">
        <v>190240</v>
      </c>
      <c r="G429">
        <v>0.498</v>
      </c>
      <c r="H429">
        <v>185</v>
      </c>
      <c r="I429">
        <v>0.40400000000000003</v>
      </c>
      <c r="J429">
        <v>0.56000000000000005</v>
      </c>
      <c r="K429" t="s">
        <v>2732</v>
      </c>
      <c r="L429">
        <v>35</v>
      </c>
      <c r="M429">
        <v>0.66300000000000003</v>
      </c>
      <c r="N429">
        <v>139.92599999999999</v>
      </c>
      <c r="O429">
        <v>0</v>
      </c>
      <c r="P429">
        <v>1</v>
      </c>
      <c r="Q429">
        <v>11</v>
      </c>
      <c r="R429" t="s">
        <v>2733</v>
      </c>
      <c r="S429" t="s">
        <v>2734</v>
      </c>
      <c r="T429">
        <f>I429*-0.5+M429*0.5</f>
        <v>0.1295</v>
      </c>
      <c r="U429">
        <f>I429*0.7+M429*-0.25+D429*-0.25</f>
        <v>8.0049999999999982E-2</v>
      </c>
      <c r="V429">
        <f>J429*0.5+I429*-0.5</f>
        <v>7.8000000000000014E-2</v>
      </c>
      <c r="W429">
        <f>M429*0.5+G429*0.25+I429*0.25</f>
        <v>0.55700000000000005</v>
      </c>
    </row>
    <row r="430" spans="1:23" x14ac:dyDescent="0.2">
      <c r="A430">
        <v>7.8600000000000003E-2</v>
      </c>
      <c r="B430">
        <v>7</v>
      </c>
      <c r="C430">
        <v>4</v>
      </c>
      <c r="D430">
        <v>0.39400000000000002</v>
      </c>
      <c r="E430">
        <v>-4.694</v>
      </c>
      <c r="F430">
        <v>189867</v>
      </c>
      <c r="G430">
        <v>0.67600000000000005</v>
      </c>
      <c r="H430">
        <v>189</v>
      </c>
      <c r="I430">
        <v>0.51700000000000002</v>
      </c>
      <c r="J430">
        <v>1.01E-2</v>
      </c>
      <c r="K430" t="s">
        <v>955</v>
      </c>
      <c r="L430">
        <v>59</v>
      </c>
      <c r="M430">
        <v>0.77600000000000002</v>
      </c>
      <c r="N430">
        <v>98.054000000000002</v>
      </c>
      <c r="O430">
        <v>3.0699999999999998E-3</v>
      </c>
      <c r="P430">
        <v>1</v>
      </c>
      <c r="Q430">
        <v>17</v>
      </c>
      <c r="R430" t="s">
        <v>956</v>
      </c>
      <c r="S430" t="s">
        <v>957</v>
      </c>
      <c r="T430">
        <f>I430*-0.5+M430*0.5</f>
        <v>0.1295</v>
      </c>
      <c r="U430">
        <f>I430*0.7+M430*-0.25+D430*-0.25</f>
        <v>6.9399999999999989E-2</v>
      </c>
      <c r="V430">
        <f>J430*0.5+I430*-0.5</f>
        <v>-0.25345000000000001</v>
      </c>
      <c r="W430">
        <f>M430*0.5+G430*0.25+I430*0.25</f>
        <v>0.68625000000000003</v>
      </c>
    </row>
    <row r="431" spans="1:23" x14ac:dyDescent="0.2">
      <c r="A431">
        <v>4.4299999999999999E-2</v>
      </c>
      <c r="B431">
        <v>0</v>
      </c>
      <c r="C431">
        <v>3</v>
      </c>
      <c r="D431">
        <v>8.43E-2</v>
      </c>
      <c r="E431">
        <v>-9.7330000000000005</v>
      </c>
      <c r="F431">
        <v>305747</v>
      </c>
      <c r="G431">
        <v>0.20899999999999999</v>
      </c>
      <c r="H431">
        <v>228</v>
      </c>
      <c r="I431">
        <v>0.154</v>
      </c>
      <c r="J431">
        <v>0.17199999999999999</v>
      </c>
      <c r="K431" t="s">
        <v>2180</v>
      </c>
      <c r="L431">
        <v>46</v>
      </c>
      <c r="M431">
        <v>0.41199999999999998</v>
      </c>
      <c r="N431">
        <v>86.26</v>
      </c>
      <c r="O431">
        <v>0.15</v>
      </c>
      <c r="P431">
        <v>1</v>
      </c>
      <c r="Q431">
        <v>18</v>
      </c>
      <c r="R431" t="s">
        <v>2181</v>
      </c>
      <c r="S431" t="s">
        <v>2182</v>
      </c>
      <c r="T431">
        <f>I431*-0.5+M431*0.5</f>
        <v>0.129</v>
      </c>
      <c r="U431">
        <f>I431*0.7+M431*-0.25+D431*-0.25</f>
        <v>-1.6275000000000001E-2</v>
      </c>
      <c r="V431">
        <f>J431*0.5+I431*-0.5</f>
        <v>8.9999999999999941E-3</v>
      </c>
      <c r="W431">
        <f>M431*0.5+G431*0.25+I431*0.25</f>
        <v>0.29674999999999996</v>
      </c>
    </row>
    <row r="432" spans="1:23" x14ac:dyDescent="0.2">
      <c r="A432">
        <v>2.7699999999999999E-2</v>
      </c>
      <c r="B432">
        <v>7</v>
      </c>
      <c r="C432">
        <v>4</v>
      </c>
      <c r="D432">
        <v>7.9699999999999993E-2</v>
      </c>
      <c r="E432">
        <v>-5.1890000000000001</v>
      </c>
      <c r="F432">
        <v>221573</v>
      </c>
      <c r="G432">
        <v>0.61899999999999999</v>
      </c>
      <c r="H432">
        <v>229</v>
      </c>
      <c r="I432">
        <v>0.51300000000000001</v>
      </c>
      <c r="J432">
        <v>5.7799999999999997E-2</v>
      </c>
      <c r="K432" t="s">
        <v>1161</v>
      </c>
      <c r="L432">
        <v>8</v>
      </c>
      <c r="M432">
        <v>0.77</v>
      </c>
      <c r="N432">
        <v>102.008</v>
      </c>
      <c r="O432" s="1">
        <v>4.3699999999999997E-6</v>
      </c>
      <c r="P432">
        <v>1</v>
      </c>
      <c r="Q432">
        <v>8</v>
      </c>
      <c r="R432" t="s">
        <v>703</v>
      </c>
      <c r="S432" t="s">
        <v>1162</v>
      </c>
      <c r="T432">
        <f>I432*-0.5+M432*0.5</f>
        <v>0.1285</v>
      </c>
      <c r="U432">
        <f>I432*0.7+M432*-0.25+D432*-0.25</f>
        <v>0.14667499999999997</v>
      </c>
      <c r="V432">
        <f>J432*0.5+I432*-0.5</f>
        <v>-0.2276</v>
      </c>
      <c r="W432">
        <f>M432*0.5+G432*0.25+I432*0.25</f>
        <v>0.66799999999999993</v>
      </c>
    </row>
    <row r="433" spans="1:23" x14ac:dyDescent="0.2">
      <c r="A433">
        <v>4.36E-2</v>
      </c>
      <c r="B433">
        <v>3</v>
      </c>
      <c r="C433">
        <v>4</v>
      </c>
      <c r="D433">
        <v>4.9000000000000002E-2</v>
      </c>
      <c r="E433">
        <v>-6.0369999999999999</v>
      </c>
      <c r="F433">
        <v>237933</v>
      </c>
      <c r="G433">
        <v>0.60299999999999998</v>
      </c>
      <c r="H433">
        <v>236</v>
      </c>
      <c r="I433">
        <v>0.52100000000000002</v>
      </c>
      <c r="J433">
        <v>2.4E-2</v>
      </c>
      <c r="K433" t="s">
        <v>1012</v>
      </c>
      <c r="L433">
        <v>11</v>
      </c>
      <c r="M433">
        <v>0.77800000000000002</v>
      </c>
      <c r="N433">
        <v>124.999</v>
      </c>
      <c r="O433">
        <v>4.6100000000000002E-2</v>
      </c>
      <c r="P433">
        <v>0</v>
      </c>
      <c r="Q433">
        <v>6</v>
      </c>
      <c r="R433" t="s">
        <v>1013</v>
      </c>
      <c r="S433" t="s">
        <v>1014</v>
      </c>
      <c r="T433">
        <f>I433*-0.5+M433*0.5</f>
        <v>0.1285</v>
      </c>
      <c r="U433">
        <f>I433*0.7+M433*-0.25+D433*-0.25</f>
        <v>0.15794999999999995</v>
      </c>
      <c r="V433">
        <f>J433*0.5+I433*-0.5</f>
        <v>-0.2485</v>
      </c>
      <c r="W433">
        <f>M433*0.5+G433*0.25+I433*0.25</f>
        <v>0.66999999999999993</v>
      </c>
    </row>
    <row r="434" spans="1:23" x14ac:dyDescent="0.2">
      <c r="A434">
        <v>2.7400000000000001E-2</v>
      </c>
      <c r="B434">
        <v>9</v>
      </c>
      <c r="C434">
        <v>4</v>
      </c>
      <c r="D434">
        <v>7.6200000000000004E-2</v>
      </c>
      <c r="E434">
        <v>-4.5670000000000002</v>
      </c>
      <c r="F434">
        <v>208493</v>
      </c>
      <c r="G434">
        <v>0.69099999999999995</v>
      </c>
      <c r="H434">
        <v>206</v>
      </c>
      <c r="I434">
        <v>0.49299999999999999</v>
      </c>
      <c r="J434">
        <v>5.5900000000000004E-3</v>
      </c>
      <c r="K434" t="s">
        <v>1000</v>
      </c>
      <c r="L434">
        <v>26</v>
      </c>
      <c r="M434">
        <v>0.749</v>
      </c>
      <c r="N434">
        <v>140.01400000000001</v>
      </c>
      <c r="O434">
        <v>0</v>
      </c>
      <c r="P434">
        <v>1</v>
      </c>
      <c r="Q434">
        <v>12</v>
      </c>
      <c r="R434" t="s">
        <v>243</v>
      </c>
      <c r="S434" t="s">
        <v>1001</v>
      </c>
      <c r="T434">
        <f>I434*-0.5+M434*0.5</f>
        <v>0.128</v>
      </c>
      <c r="U434">
        <f>I434*0.7+M434*-0.25+D434*-0.25</f>
        <v>0.13879999999999995</v>
      </c>
      <c r="V434">
        <f>J434*0.5+I434*-0.5</f>
        <v>-0.243705</v>
      </c>
      <c r="W434">
        <f>M434*0.5+G434*0.25+I434*0.25</f>
        <v>0.67049999999999998</v>
      </c>
    </row>
    <row r="435" spans="1:23" x14ac:dyDescent="0.2">
      <c r="A435">
        <v>5.57E-2</v>
      </c>
      <c r="B435">
        <v>9</v>
      </c>
      <c r="C435">
        <v>4</v>
      </c>
      <c r="D435">
        <v>0.23400000000000001</v>
      </c>
      <c r="E435">
        <v>-2.9089999999999998</v>
      </c>
      <c r="F435">
        <v>290760</v>
      </c>
      <c r="G435">
        <v>0.66300000000000003</v>
      </c>
      <c r="H435">
        <v>206</v>
      </c>
      <c r="I435">
        <v>0.56599999999999995</v>
      </c>
      <c r="J435">
        <v>4.13E-3</v>
      </c>
      <c r="K435" t="s">
        <v>855</v>
      </c>
      <c r="L435">
        <v>46</v>
      </c>
      <c r="M435">
        <v>0.82199999999999995</v>
      </c>
      <c r="N435">
        <v>128.00200000000001</v>
      </c>
      <c r="O435">
        <v>3.1800000000000001E-3</v>
      </c>
      <c r="P435">
        <v>1</v>
      </c>
      <c r="Q435">
        <v>14</v>
      </c>
      <c r="R435" t="s">
        <v>856</v>
      </c>
      <c r="S435" t="s">
        <v>857</v>
      </c>
      <c r="T435">
        <f>I435*-0.5+M435*0.5</f>
        <v>0.128</v>
      </c>
      <c r="U435">
        <f>I435*0.7+M435*-0.25+D435*-0.25</f>
        <v>0.13219999999999996</v>
      </c>
      <c r="V435">
        <f>J435*0.5+I435*-0.5</f>
        <v>-0.28093499999999999</v>
      </c>
      <c r="W435">
        <f>M435*0.5+G435*0.25+I435*0.25</f>
        <v>0.71824999999999994</v>
      </c>
    </row>
    <row r="436" spans="1:23" x14ac:dyDescent="0.2">
      <c r="A436">
        <v>0.10199999999999999</v>
      </c>
      <c r="B436">
        <v>1</v>
      </c>
      <c r="C436">
        <v>4</v>
      </c>
      <c r="D436">
        <v>0.38700000000000001</v>
      </c>
      <c r="E436">
        <v>-6.6840000000000002</v>
      </c>
      <c r="F436">
        <v>229867</v>
      </c>
      <c r="G436">
        <v>0.85</v>
      </c>
      <c r="H436">
        <v>192</v>
      </c>
      <c r="I436">
        <v>0.22800000000000001</v>
      </c>
      <c r="J436">
        <v>2.46E-2</v>
      </c>
      <c r="K436" t="s">
        <v>1660</v>
      </c>
      <c r="L436">
        <v>21</v>
      </c>
      <c r="M436">
        <v>0.48199999999999998</v>
      </c>
      <c r="N436">
        <v>100.95699999999999</v>
      </c>
      <c r="O436">
        <v>0</v>
      </c>
      <c r="P436">
        <v>0</v>
      </c>
      <c r="Q436">
        <v>4</v>
      </c>
      <c r="R436" t="s">
        <v>556</v>
      </c>
      <c r="S436" t="s">
        <v>1661</v>
      </c>
      <c r="T436">
        <f>I436*-0.5+M436*0.5</f>
        <v>0.127</v>
      </c>
      <c r="U436">
        <f>I436*0.7+M436*-0.25+D436*-0.25</f>
        <v>-5.7650000000000007E-2</v>
      </c>
      <c r="V436">
        <f>J436*0.5+I436*-0.5</f>
        <v>-0.1017</v>
      </c>
      <c r="W436">
        <f>M436*0.5+G436*0.25+I436*0.25</f>
        <v>0.51050000000000006</v>
      </c>
    </row>
    <row r="437" spans="1:23" x14ac:dyDescent="0.2">
      <c r="A437">
        <v>0.121</v>
      </c>
      <c r="B437">
        <v>5</v>
      </c>
      <c r="C437">
        <v>4</v>
      </c>
      <c r="D437">
        <v>0.36499999999999999</v>
      </c>
      <c r="E437">
        <v>-4.2450000000000001</v>
      </c>
      <c r="F437">
        <v>204013</v>
      </c>
      <c r="G437">
        <v>0.59599999999999997</v>
      </c>
      <c r="H437">
        <v>203</v>
      </c>
      <c r="I437">
        <v>0.59699999999999998</v>
      </c>
      <c r="J437">
        <v>3.5799999999999998E-2</v>
      </c>
      <c r="K437" t="s">
        <v>924</v>
      </c>
      <c r="L437">
        <v>61</v>
      </c>
      <c r="M437">
        <v>0.85099999999999998</v>
      </c>
      <c r="N437">
        <v>202.04900000000001</v>
      </c>
      <c r="O437" s="1">
        <v>3.1900000000000003E-5</v>
      </c>
      <c r="P437">
        <v>0</v>
      </c>
      <c r="Q437">
        <v>10</v>
      </c>
      <c r="R437" t="s">
        <v>925</v>
      </c>
      <c r="S437" t="s">
        <v>926</v>
      </c>
      <c r="T437">
        <f>I437*-0.5+M437*0.5</f>
        <v>0.127</v>
      </c>
      <c r="U437">
        <f>I437*0.7+M437*-0.25+D437*-0.25</f>
        <v>0.11389999999999995</v>
      </c>
      <c r="V437">
        <f>J437*0.5+I437*-0.5</f>
        <v>-0.28059999999999996</v>
      </c>
      <c r="W437">
        <f>M437*0.5+G437*0.25+I437*0.25</f>
        <v>0.72375</v>
      </c>
    </row>
    <row r="438" spans="1:23" x14ac:dyDescent="0.2">
      <c r="A438">
        <v>0.16700000000000001</v>
      </c>
      <c r="B438">
        <v>5</v>
      </c>
      <c r="C438">
        <v>4</v>
      </c>
      <c r="D438">
        <v>0.59599999999999997</v>
      </c>
      <c r="E438">
        <v>-4.4260000000000002</v>
      </c>
      <c r="F438">
        <v>203973</v>
      </c>
      <c r="G438">
        <v>0.59699999999999998</v>
      </c>
      <c r="H438">
        <v>203</v>
      </c>
      <c r="I438">
        <v>0.61199999999999999</v>
      </c>
      <c r="J438">
        <v>2.5999999999999999E-3</v>
      </c>
      <c r="K438" t="s">
        <v>786</v>
      </c>
      <c r="L438">
        <v>42</v>
      </c>
      <c r="M438">
        <v>0.86599999999999999</v>
      </c>
      <c r="N438">
        <v>134.00899999999999</v>
      </c>
      <c r="O438">
        <v>0</v>
      </c>
      <c r="P438">
        <v>1</v>
      </c>
      <c r="Q438">
        <v>9</v>
      </c>
      <c r="R438" t="s">
        <v>787</v>
      </c>
      <c r="S438" t="s">
        <v>788</v>
      </c>
      <c r="T438">
        <f>I438*-0.5+M438*0.5</f>
        <v>0.127</v>
      </c>
      <c r="U438">
        <f>I438*0.7+M438*-0.25+D438*-0.25</f>
        <v>6.2899999999999956E-2</v>
      </c>
      <c r="V438">
        <f>J438*0.5+I438*-0.5</f>
        <v>-0.30469999999999997</v>
      </c>
      <c r="W438">
        <f>M438*0.5+G438*0.25+I438*0.25</f>
        <v>0.73524999999999996</v>
      </c>
    </row>
    <row r="439" spans="1:23" x14ac:dyDescent="0.2">
      <c r="A439">
        <v>3.61E-2</v>
      </c>
      <c r="B439">
        <v>11</v>
      </c>
      <c r="C439">
        <v>4</v>
      </c>
      <c r="D439">
        <v>0.15</v>
      </c>
      <c r="E439">
        <v>-5.5540000000000003</v>
      </c>
      <c r="F439">
        <v>251960</v>
      </c>
      <c r="G439">
        <v>0.52</v>
      </c>
      <c r="H439">
        <v>221</v>
      </c>
      <c r="I439">
        <v>0.434</v>
      </c>
      <c r="J439">
        <v>1.2999999999999999E-2</v>
      </c>
      <c r="K439" t="s">
        <v>1163</v>
      </c>
      <c r="L439">
        <v>15</v>
      </c>
      <c r="M439">
        <v>0.68799999999999994</v>
      </c>
      <c r="N439">
        <v>160.108</v>
      </c>
      <c r="O439" s="1">
        <v>4.4100000000000001E-6</v>
      </c>
      <c r="P439">
        <v>0</v>
      </c>
      <c r="Q439">
        <v>15</v>
      </c>
      <c r="R439" t="s">
        <v>1164</v>
      </c>
      <c r="S439" t="s">
        <v>1165</v>
      </c>
      <c r="T439">
        <f>I439*-0.5+M439*0.5</f>
        <v>0.12699999999999997</v>
      </c>
      <c r="U439">
        <f>I439*0.7+M439*-0.25+D439*-0.25</f>
        <v>9.4299999999999967E-2</v>
      </c>
      <c r="V439">
        <f>J439*0.5+I439*-0.5</f>
        <v>-0.21049999999999999</v>
      </c>
      <c r="W439">
        <f>M439*0.5+G439*0.25+I439*0.25</f>
        <v>0.58250000000000002</v>
      </c>
    </row>
    <row r="440" spans="1:23" x14ac:dyDescent="0.2">
      <c r="A440">
        <v>4.7800000000000002E-2</v>
      </c>
      <c r="B440">
        <v>0</v>
      </c>
      <c r="C440">
        <v>4</v>
      </c>
      <c r="D440">
        <v>0.193</v>
      </c>
      <c r="E440">
        <v>-3.6669999999999998</v>
      </c>
      <c r="F440">
        <v>202307</v>
      </c>
      <c r="G440">
        <v>0.79300000000000004</v>
      </c>
      <c r="H440">
        <v>201</v>
      </c>
      <c r="I440">
        <v>0.52100000000000002</v>
      </c>
      <c r="J440">
        <v>0.156</v>
      </c>
      <c r="K440" t="s">
        <v>1584</v>
      </c>
      <c r="L440">
        <v>55</v>
      </c>
      <c r="M440">
        <v>0.77400000000000002</v>
      </c>
      <c r="N440">
        <v>113.967</v>
      </c>
      <c r="O440">
        <v>0</v>
      </c>
      <c r="P440">
        <v>0</v>
      </c>
      <c r="Q440">
        <v>9</v>
      </c>
      <c r="R440" t="s">
        <v>1093</v>
      </c>
      <c r="S440" t="s">
        <v>1311</v>
      </c>
      <c r="T440">
        <f>I440*-0.5+M440*0.5</f>
        <v>0.1265</v>
      </c>
      <c r="U440">
        <f>I440*0.7+M440*-0.25+D440*-0.25</f>
        <v>0.12294999999999996</v>
      </c>
      <c r="V440">
        <f>J440*0.5+I440*-0.5</f>
        <v>-0.1825</v>
      </c>
      <c r="W440">
        <f>M440*0.5+G440*0.25+I440*0.25</f>
        <v>0.71550000000000002</v>
      </c>
    </row>
    <row r="441" spans="1:23" x14ac:dyDescent="0.2">
      <c r="A441">
        <v>2.9600000000000001E-2</v>
      </c>
      <c r="B441">
        <v>9</v>
      </c>
      <c r="C441">
        <v>4</v>
      </c>
      <c r="D441">
        <v>0.159</v>
      </c>
      <c r="E441">
        <v>-4.3529999999999998</v>
      </c>
      <c r="F441">
        <v>230093</v>
      </c>
      <c r="G441">
        <v>0.57499999999999996</v>
      </c>
      <c r="H441">
        <v>229</v>
      </c>
      <c r="I441">
        <v>0.53300000000000003</v>
      </c>
      <c r="J441">
        <v>0.252</v>
      </c>
      <c r="K441" t="s">
        <v>1903</v>
      </c>
      <c r="L441">
        <v>6</v>
      </c>
      <c r="M441">
        <v>0.78600000000000003</v>
      </c>
      <c r="N441">
        <v>96.102000000000004</v>
      </c>
      <c r="O441">
        <v>0</v>
      </c>
      <c r="P441">
        <v>1</v>
      </c>
      <c r="Q441">
        <v>11</v>
      </c>
      <c r="R441" t="s">
        <v>1005</v>
      </c>
      <c r="S441" t="s">
        <v>1904</v>
      </c>
      <c r="T441">
        <f>I441*-0.5+M441*0.5</f>
        <v>0.1265</v>
      </c>
      <c r="U441">
        <f>I441*0.7+M441*-0.25+D441*-0.25</f>
        <v>0.13684999999999997</v>
      </c>
      <c r="V441">
        <f>J441*0.5+I441*-0.5</f>
        <v>-0.14050000000000001</v>
      </c>
      <c r="W441">
        <f>M441*0.5+G441*0.25+I441*0.25</f>
        <v>0.67</v>
      </c>
    </row>
    <row r="442" spans="1:23" x14ac:dyDescent="0.2">
      <c r="A442">
        <v>0.26</v>
      </c>
      <c r="B442">
        <v>5</v>
      </c>
      <c r="C442">
        <v>4</v>
      </c>
      <c r="D442">
        <v>0.114</v>
      </c>
      <c r="E442">
        <v>-3.0710000000000002</v>
      </c>
      <c r="F442">
        <v>243493</v>
      </c>
      <c r="G442">
        <v>0.69399999999999995</v>
      </c>
      <c r="H442">
        <v>238</v>
      </c>
      <c r="I442">
        <v>0.501</v>
      </c>
      <c r="J442">
        <v>0.63500000000000001</v>
      </c>
      <c r="K442" t="s">
        <v>2793</v>
      </c>
      <c r="L442">
        <v>14</v>
      </c>
      <c r="M442">
        <v>0.752</v>
      </c>
      <c r="N442">
        <v>82.528999999999996</v>
      </c>
      <c r="O442" s="1">
        <v>6.4400000000000002E-6</v>
      </c>
      <c r="P442">
        <v>0</v>
      </c>
      <c r="Q442">
        <v>11</v>
      </c>
      <c r="R442" t="s">
        <v>2794</v>
      </c>
      <c r="S442" t="s">
        <v>2795</v>
      </c>
      <c r="T442">
        <f>I442*-0.5+M442*0.5</f>
        <v>0.1255</v>
      </c>
      <c r="U442">
        <f>I442*0.7+M442*-0.25+D442*-0.25</f>
        <v>0.13419999999999996</v>
      </c>
      <c r="V442">
        <f>J442*0.5+I442*-0.5</f>
        <v>6.7000000000000004E-2</v>
      </c>
      <c r="W442">
        <f>M442*0.5+G442*0.25+I442*0.25</f>
        <v>0.67474999999999996</v>
      </c>
    </row>
    <row r="443" spans="1:23" x14ac:dyDescent="0.2">
      <c r="A443">
        <v>3.09E-2</v>
      </c>
      <c r="B443">
        <v>3</v>
      </c>
      <c r="C443">
        <v>4</v>
      </c>
      <c r="D443">
        <v>0.151</v>
      </c>
      <c r="E443">
        <v>-4.0129999999999999</v>
      </c>
      <c r="F443">
        <v>233640</v>
      </c>
      <c r="G443">
        <v>0.59899999999999998</v>
      </c>
      <c r="H443">
        <v>229</v>
      </c>
      <c r="I443">
        <v>0.53400000000000003</v>
      </c>
      <c r="J443">
        <v>0.44800000000000001</v>
      </c>
      <c r="K443" t="s">
        <v>2412</v>
      </c>
      <c r="L443">
        <v>22</v>
      </c>
      <c r="M443">
        <v>0.78500000000000003</v>
      </c>
      <c r="N443">
        <v>140.04599999999999</v>
      </c>
      <c r="O443">
        <v>3.3600000000000001E-3</v>
      </c>
      <c r="P443">
        <v>1</v>
      </c>
      <c r="Q443">
        <v>11</v>
      </c>
      <c r="R443" t="s">
        <v>2413</v>
      </c>
      <c r="S443" t="s">
        <v>227</v>
      </c>
      <c r="T443">
        <f>I443*-0.5+M443*0.5</f>
        <v>0.1255</v>
      </c>
      <c r="U443">
        <f>I443*0.7+M443*-0.25+D443*-0.25</f>
        <v>0.13980000000000001</v>
      </c>
      <c r="V443">
        <f>J443*0.5+I443*-0.5</f>
        <v>-4.300000000000001E-2</v>
      </c>
      <c r="W443">
        <f>M443*0.5+G443*0.25+I443*0.25</f>
        <v>0.67575000000000007</v>
      </c>
    </row>
    <row r="444" spans="1:23" x14ac:dyDescent="0.2">
      <c r="A444">
        <v>6.3299999999999995E-2</v>
      </c>
      <c r="B444">
        <v>2</v>
      </c>
      <c r="C444">
        <v>4</v>
      </c>
      <c r="D444">
        <v>7.2900000000000006E-2</v>
      </c>
      <c r="E444">
        <v>-3.714</v>
      </c>
      <c r="F444">
        <v>190173</v>
      </c>
      <c r="G444">
        <v>0.32500000000000001</v>
      </c>
      <c r="H444">
        <v>189</v>
      </c>
      <c r="I444">
        <v>0.56499999999999995</v>
      </c>
      <c r="J444">
        <v>0.16500000000000001</v>
      </c>
      <c r="K444" t="s">
        <v>1536</v>
      </c>
      <c r="L444">
        <v>26</v>
      </c>
      <c r="M444">
        <v>0.81599999999999995</v>
      </c>
      <c r="N444">
        <v>207.673</v>
      </c>
      <c r="O444">
        <v>0</v>
      </c>
      <c r="P444">
        <v>1</v>
      </c>
      <c r="Q444">
        <v>14</v>
      </c>
      <c r="R444" t="s">
        <v>1537</v>
      </c>
      <c r="S444" t="s">
        <v>1538</v>
      </c>
      <c r="T444">
        <f>I444*-0.5+M444*0.5</f>
        <v>0.1255</v>
      </c>
      <c r="U444">
        <f>I444*0.7+M444*-0.25+D444*-0.25</f>
        <v>0.17327499999999998</v>
      </c>
      <c r="V444">
        <f>J444*0.5+I444*-0.5</f>
        <v>-0.19999999999999996</v>
      </c>
      <c r="W444">
        <f>M444*0.5+G444*0.25+I444*0.25</f>
        <v>0.63049999999999995</v>
      </c>
    </row>
    <row r="445" spans="1:23" x14ac:dyDescent="0.2">
      <c r="A445">
        <v>3.2800000000000003E-2</v>
      </c>
      <c r="B445">
        <v>4</v>
      </c>
      <c r="C445">
        <v>4</v>
      </c>
      <c r="D445">
        <v>0.30499999999999999</v>
      </c>
      <c r="E445">
        <v>-5.4710000000000001</v>
      </c>
      <c r="F445">
        <v>247000</v>
      </c>
      <c r="G445">
        <v>0.59899999999999998</v>
      </c>
      <c r="H445">
        <v>247</v>
      </c>
      <c r="I445">
        <v>0.57299999999999995</v>
      </c>
      <c r="J445">
        <v>8.43E-3</v>
      </c>
      <c r="K445" t="s">
        <v>886</v>
      </c>
      <c r="L445">
        <v>2</v>
      </c>
      <c r="M445">
        <v>0.82399999999999995</v>
      </c>
      <c r="N445">
        <v>104.679</v>
      </c>
      <c r="O445">
        <v>2.2100000000000001E-4</v>
      </c>
      <c r="P445">
        <v>0</v>
      </c>
      <c r="Q445">
        <v>6</v>
      </c>
      <c r="R445" t="s">
        <v>887</v>
      </c>
      <c r="S445" t="s">
        <v>888</v>
      </c>
      <c r="T445">
        <f>I445*-0.5+M445*0.5</f>
        <v>0.1255</v>
      </c>
      <c r="U445">
        <f>I445*0.7+M445*-0.25+D445*-0.25</f>
        <v>0.11884999999999997</v>
      </c>
      <c r="V445">
        <f>J445*0.5+I445*-0.5</f>
        <v>-0.28228499999999995</v>
      </c>
      <c r="W445">
        <f>M445*0.5+G445*0.25+I445*0.25</f>
        <v>0.70499999999999996</v>
      </c>
    </row>
    <row r="446" spans="1:23" x14ac:dyDescent="0.2">
      <c r="A446">
        <v>3.3099999999999997E-2</v>
      </c>
      <c r="B446">
        <v>7</v>
      </c>
      <c r="C446">
        <v>4</v>
      </c>
      <c r="D446">
        <v>0.23400000000000001</v>
      </c>
      <c r="E446">
        <v>-4.6779999999999999</v>
      </c>
      <c r="F446">
        <v>222440</v>
      </c>
      <c r="G446">
        <v>0.59499999999999997</v>
      </c>
      <c r="H446">
        <v>220</v>
      </c>
      <c r="I446">
        <v>0.59299999999999997</v>
      </c>
      <c r="J446">
        <v>1.37E-2</v>
      </c>
      <c r="K446" t="s">
        <v>869</v>
      </c>
      <c r="L446">
        <v>27</v>
      </c>
      <c r="M446">
        <v>0.84399999999999997</v>
      </c>
      <c r="N446">
        <v>127.98099999999999</v>
      </c>
      <c r="O446">
        <v>0</v>
      </c>
      <c r="P446">
        <v>1</v>
      </c>
      <c r="Q446">
        <v>18</v>
      </c>
      <c r="R446" t="s">
        <v>870</v>
      </c>
      <c r="S446" t="s">
        <v>871</v>
      </c>
      <c r="T446">
        <f>I446*-0.5+M446*0.5</f>
        <v>0.1255</v>
      </c>
      <c r="U446">
        <f>I446*0.7+M446*-0.25+D446*-0.25</f>
        <v>0.14559999999999998</v>
      </c>
      <c r="V446">
        <f>J446*0.5+I446*-0.5</f>
        <v>-0.28964999999999996</v>
      </c>
      <c r="W446">
        <f>M446*0.5+G446*0.25+I446*0.25</f>
        <v>0.71899999999999997</v>
      </c>
    </row>
    <row r="447" spans="1:23" x14ac:dyDescent="0.2">
      <c r="A447">
        <v>3.78E-2</v>
      </c>
      <c r="B447">
        <v>7</v>
      </c>
      <c r="C447">
        <v>4</v>
      </c>
      <c r="D447">
        <v>0.52200000000000002</v>
      </c>
      <c r="E447">
        <v>-3.181</v>
      </c>
      <c r="F447">
        <v>229120</v>
      </c>
      <c r="G447">
        <v>0.65500000000000003</v>
      </c>
      <c r="H447">
        <v>228</v>
      </c>
      <c r="I447">
        <v>0.66700000000000004</v>
      </c>
      <c r="J447">
        <v>3.6800000000000001E-3</v>
      </c>
      <c r="K447" t="s">
        <v>705</v>
      </c>
      <c r="L447">
        <v>43</v>
      </c>
      <c r="M447">
        <v>0.91800000000000004</v>
      </c>
      <c r="N447">
        <v>125.07</v>
      </c>
      <c r="O447">
        <v>1.18E-4</v>
      </c>
      <c r="P447">
        <v>1</v>
      </c>
      <c r="Q447">
        <v>19</v>
      </c>
      <c r="R447" t="s">
        <v>706</v>
      </c>
      <c r="S447" t="s">
        <v>707</v>
      </c>
      <c r="T447">
        <f>I447*-0.5+M447*0.5</f>
        <v>0.1255</v>
      </c>
      <c r="U447">
        <f>I447*0.7+M447*-0.25+D447*-0.25</f>
        <v>0.10689999999999997</v>
      </c>
      <c r="V447">
        <f>J447*0.5+I447*-0.5</f>
        <v>-0.33166000000000001</v>
      </c>
      <c r="W447">
        <f>M447*0.5+G447*0.25+I447*0.25</f>
        <v>0.78950000000000009</v>
      </c>
    </row>
    <row r="448" spans="1:23" x14ac:dyDescent="0.2">
      <c r="A448">
        <v>3.9800000000000002E-2</v>
      </c>
      <c r="B448">
        <v>8</v>
      </c>
      <c r="C448">
        <v>4</v>
      </c>
      <c r="D448">
        <v>8.6300000000000002E-2</v>
      </c>
      <c r="E448">
        <v>-3.1150000000000002</v>
      </c>
      <c r="F448">
        <v>217347</v>
      </c>
      <c r="G448">
        <v>0.59499999999999997</v>
      </c>
      <c r="H448">
        <v>214</v>
      </c>
      <c r="I448">
        <v>0.496</v>
      </c>
      <c r="J448">
        <v>0.13400000000000001</v>
      </c>
      <c r="K448" t="s">
        <v>1563</v>
      </c>
      <c r="L448">
        <v>49</v>
      </c>
      <c r="M448">
        <v>0.746</v>
      </c>
      <c r="N448">
        <v>127.96</v>
      </c>
      <c r="O448">
        <v>0</v>
      </c>
      <c r="P448">
        <v>1</v>
      </c>
      <c r="Q448">
        <v>13</v>
      </c>
      <c r="R448" t="s">
        <v>1564</v>
      </c>
      <c r="S448" t="s">
        <v>1565</v>
      </c>
      <c r="T448">
        <f>I448*-0.5+M448*0.5</f>
        <v>0.125</v>
      </c>
      <c r="U448">
        <f>I448*0.7+M448*-0.25+D448*-0.25</f>
        <v>0.13912499999999994</v>
      </c>
      <c r="V448">
        <f>J448*0.5+I448*-0.5</f>
        <v>-0.18099999999999999</v>
      </c>
      <c r="W448">
        <f>M448*0.5+G448*0.25+I448*0.25</f>
        <v>0.64574999999999994</v>
      </c>
    </row>
    <row r="449" spans="1:23" x14ac:dyDescent="0.2">
      <c r="A449">
        <v>3.4599999999999999E-2</v>
      </c>
      <c r="B449">
        <v>1</v>
      </c>
      <c r="C449">
        <v>4</v>
      </c>
      <c r="D449">
        <v>0.105</v>
      </c>
      <c r="E449">
        <v>-3.6629999999999998</v>
      </c>
      <c r="F449">
        <v>208493</v>
      </c>
      <c r="G449">
        <v>0.63700000000000001</v>
      </c>
      <c r="H449">
        <v>206</v>
      </c>
      <c r="I449">
        <v>0.59599999999999997</v>
      </c>
      <c r="J449">
        <v>4.3700000000000003E-2</v>
      </c>
      <c r="K449" t="s">
        <v>966</v>
      </c>
      <c r="L449">
        <v>3</v>
      </c>
      <c r="M449">
        <v>0.84599999999999997</v>
      </c>
      <c r="N449">
        <v>103.119</v>
      </c>
      <c r="O449">
        <v>0</v>
      </c>
      <c r="P449">
        <v>1</v>
      </c>
      <c r="Q449">
        <v>14</v>
      </c>
      <c r="R449" t="s">
        <v>967</v>
      </c>
      <c r="S449" t="s">
        <v>968</v>
      </c>
      <c r="T449">
        <f>I449*-0.5+M449*0.5</f>
        <v>0.125</v>
      </c>
      <c r="U449">
        <f>I449*0.7+M449*-0.25+D449*-0.25</f>
        <v>0.17944999999999997</v>
      </c>
      <c r="V449">
        <f>J449*0.5+I449*-0.5</f>
        <v>-0.27615000000000001</v>
      </c>
      <c r="W449">
        <f>M449*0.5+G449*0.25+I449*0.25</f>
        <v>0.73124999999999996</v>
      </c>
    </row>
    <row r="450" spans="1:23" x14ac:dyDescent="0.2">
      <c r="A450">
        <v>0.06</v>
      </c>
      <c r="B450">
        <v>10</v>
      </c>
      <c r="C450">
        <v>4</v>
      </c>
      <c r="D450">
        <v>0.11600000000000001</v>
      </c>
      <c r="E450">
        <v>-5.7450000000000001</v>
      </c>
      <c r="F450">
        <v>230200</v>
      </c>
      <c r="G450">
        <v>0.64800000000000002</v>
      </c>
      <c r="H450">
        <v>236</v>
      </c>
      <c r="I450">
        <v>0.63300000000000001</v>
      </c>
      <c r="J450">
        <v>3.3600000000000001E-3</v>
      </c>
      <c r="K450" t="s">
        <v>754</v>
      </c>
      <c r="L450">
        <v>10</v>
      </c>
      <c r="M450">
        <v>0.88300000000000001</v>
      </c>
      <c r="N450">
        <v>101.989</v>
      </c>
      <c r="O450">
        <v>0</v>
      </c>
      <c r="P450">
        <v>0</v>
      </c>
      <c r="Q450">
        <v>4</v>
      </c>
      <c r="R450" t="s">
        <v>755</v>
      </c>
      <c r="S450" t="s">
        <v>756</v>
      </c>
      <c r="T450">
        <f>I450*-0.5+M450*0.5</f>
        <v>0.125</v>
      </c>
      <c r="U450">
        <f>I450*0.7+M450*-0.25+D450*-0.25</f>
        <v>0.19334999999999999</v>
      </c>
      <c r="V450">
        <f>J450*0.5+I450*-0.5</f>
        <v>-0.31481999999999999</v>
      </c>
      <c r="W450">
        <f>M450*0.5+G450*0.25+I450*0.25</f>
        <v>0.76175000000000004</v>
      </c>
    </row>
    <row r="451" spans="1:23" x14ac:dyDescent="0.2">
      <c r="A451">
        <v>3.5000000000000003E-2</v>
      </c>
      <c r="B451">
        <v>8</v>
      </c>
      <c r="C451">
        <v>4</v>
      </c>
      <c r="D451">
        <v>0.22800000000000001</v>
      </c>
      <c r="E451">
        <v>-5.2160000000000002</v>
      </c>
      <c r="F451">
        <v>260680</v>
      </c>
      <c r="G451">
        <v>0.36599999999999999</v>
      </c>
      <c r="H451">
        <v>238</v>
      </c>
      <c r="I451">
        <v>0.59799999999999998</v>
      </c>
      <c r="J451" s="1">
        <v>2.6400000000000001E-5</v>
      </c>
      <c r="K451" t="s">
        <v>814</v>
      </c>
      <c r="L451">
        <v>18</v>
      </c>
      <c r="M451">
        <v>0.84699999999999998</v>
      </c>
      <c r="N451">
        <v>166.17</v>
      </c>
      <c r="O451">
        <v>0</v>
      </c>
      <c r="P451">
        <v>1</v>
      </c>
      <c r="Q451">
        <v>15</v>
      </c>
      <c r="R451" t="s">
        <v>158</v>
      </c>
      <c r="S451" t="s">
        <v>176</v>
      </c>
      <c r="T451">
        <f>I451*-0.5+M451*0.5</f>
        <v>0.1245</v>
      </c>
      <c r="U451">
        <f>I451*0.7+M451*-0.25+D451*-0.25</f>
        <v>0.14984999999999998</v>
      </c>
      <c r="V451">
        <f>J451*0.5+I451*-0.5</f>
        <v>-0.2989868</v>
      </c>
      <c r="W451">
        <f>M451*0.5+G451*0.25+I451*0.25</f>
        <v>0.66449999999999998</v>
      </c>
    </row>
    <row r="452" spans="1:23" x14ac:dyDescent="0.2">
      <c r="A452">
        <v>3.1099999999999999E-2</v>
      </c>
      <c r="B452">
        <v>4</v>
      </c>
      <c r="C452">
        <v>4</v>
      </c>
      <c r="D452">
        <v>0.13</v>
      </c>
      <c r="E452">
        <v>-3.8959999999999999</v>
      </c>
      <c r="F452">
        <v>196813</v>
      </c>
      <c r="G452">
        <v>0.69899999999999995</v>
      </c>
      <c r="H452">
        <v>195</v>
      </c>
      <c r="I452">
        <v>0.63300000000000001</v>
      </c>
      <c r="J452">
        <v>2.96E-3</v>
      </c>
      <c r="K452" t="s">
        <v>768</v>
      </c>
      <c r="L452">
        <v>37</v>
      </c>
      <c r="M452">
        <v>0.88200000000000001</v>
      </c>
      <c r="N452">
        <v>120.01600000000001</v>
      </c>
      <c r="O452">
        <v>5.4399999999999997E-2</v>
      </c>
      <c r="P452">
        <v>0</v>
      </c>
      <c r="Q452">
        <v>14</v>
      </c>
      <c r="R452" t="s">
        <v>769</v>
      </c>
      <c r="S452" t="s">
        <v>770</v>
      </c>
      <c r="T452">
        <f>I452*-0.5+M452*0.5</f>
        <v>0.1245</v>
      </c>
      <c r="U452">
        <f>I452*0.7+M452*-0.25+D452*-0.25</f>
        <v>0.19009999999999999</v>
      </c>
      <c r="V452">
        <f>J452*0.5+I452*-0.5</f>
        <v>-0.31502000000000002</v>
      </c>
      <c r="W452">
        <f>M452*0.5+G452*0.25+I452*0.25</f>
        <v>0.77400000000000002</v>
      </c>
    </row>
    <row r="453" spans="1:23" x14ac:dyDescent="0.2">
      <c r="A453">
        <v>9.0399999999999994E-2</v>
      </c>
      <c r="B453">
        <v>8</v>
      </c>
      <c r="C453">
        <v>4</v>
      </c>
      <c r="D453">
        <v>0.35899999999999999</v>
      </c>
      <c r="E453">
        <v>-5.4640000000000004</v>
      </c>
      <c r="F453">
        <v>198493</v>
      </c>
      <c r="G453">
        <v>0.35599999999999998</v>
      </c>
      <c r="H453">
        <v>196</v>
      </c>
      <c r="I453">
        <v>0.68</v>
      </c>
      <c r="J453">
        <v>1.3999999999999999E-4</v>
      </c>
      <c r="K453" t="s">
        <v>686</v>
      </c>
      <c r="L453">
        <v>13</v>
      </c>
      <c r="M453">
        <v>0.92900000000000005</v>
      </c>
      <c r="N453">
        <v>173.41300000000001</v>
      </c>
      <c r="O453">
        <v>6.7400000000000003E-3</v>
      </c>
      <c r="P453">
        <v>0</v>
      </c>
      <c r="Q453">
        <v>16</v>
      </c>
      <c r="R453" t="s">
        <v>583</v>
      </c>
      <c r="S453" t="s">
        <v>687</v>
      </c>
      <c r="T453">
        <f>I453*-0.5+M453*0.5</f>
        <v>0.1245</v>
      </c>
      <c r="U453">
        <f>I453*0.7+M453*-0.25+D453*-0.25</f>
        <v>0.15399999999999997</v>
      </c>
      <c r="V453">
        <f>J453*0.5+I453*-0.5</f>
        <v>-0.33993000000000001</v>
      </c>
      <c r="W453">
        <f>M453*0.5+G453*0.25+I453*0.25</f>
        <v>0.72350000000000003</v>
      </c>
    </row>
    <row r="454" spans="1:23" x14ac:dyDescent="0.2">
      <c r="A454">
        <v>2.9000000000000001E-2</v>
      </c>
      <c r="B454">
        <v>7</v>
      </c>
      <c r="C454">
        <v>3</v>
      </c>
      <c r="D454">
        <v>0.153</v>
      </c>
      <c r="E454">
        <v>-6.0049999999999999</v>
      </c>
      <c r="F454">
        <v>287507</v>
      </c>
      <c r="G454">
        <v>0.51900000000000002</v>
      </c>
      <c r="H454">
        <v>287</v>
      </c>
      <c r="I454">
        <v>0.34</v>
      </c>
      <c r="J454">
        <v>8.8499999999999995E-2</v>
      </c>
      <c r="K454" t="s">
        <v>1721</v>
      </c>
      <c r="L454">
        <v>2</v>
      </c>
      <c r="M454">
        <v>0.58899999999999997</v>
      </c>
      <c r="N454">
        <v>161.99199999999999</v>
      </c>
      <c r="O454">
        <v>0</v>
      </c>
      <c r="P454">
        <v>0</v>
      </c>
      <c r="Q454">
        <v>16</v>
      </c>
      <c r="R454" t="s">
        <v>1005</v>
      </c>
      <c r="S454" t="s">
        <v>1722</v>
      </c>
      <c r="T454">
        <f>I454*-0.5+M454*0.5</f>
        <v>0.12449999999999997</v>
      </c>
      <c r="U454">
        <f>I454*0.7+M454*-0.25+D454*-0.25</f>
        <v>5.2499999999999998E-2</v>
      </c>
      <c r="V454">
        <f>J454*0.5+I454*-0.5</f>
        <v>-0.12575000000000003</v>
      </c>
      <c r="W454">
        <f>M454*0.5+G454*0.25+I454*0.25</f>
        <v>0.50924999999999998</v>
      </c>
    </row>
    <row r="455" spans="1:23" x14ac:dyDescent="0.2">
      <c r="A455">
        <v>2.6200000000000001E-2</v>
      </c>
      <c r="B455">
        <v>7</v>
      </c>
      <c r="C455">
        <v>4</v>
      </c>
      <c r="D455">
        <v>0.17499999999999999</v>
      </c>
      <c r="E455">
        <v>-7.835</v>
      </c>
      <c r="F455">
        <v>259733</v>
      </c>
      <c r="G455">
        <v>0.55700000000000005</v>
      </c>
      <c r="H455">
        <v>258</v>
      </c>
      <c r="I455">
        <v>0.13700000000000001</v>
      </c>
      <c r="J455">
        <v>0.874</v>
      </c>
      <c r="K455" t="s">
        <v>3082</v>
      </c>
      <c r="L455">
        <v>22</v>
      </c>
      <c r="M455">
        <v>0.38500000000000001</v>
      </c>
      <c r="N455">
        <v>103.73</v>
      </c>
      <c r="O455">
        <v>0</v>
      </c>
      <c r="P455">
        <v>1</v>
      </c>
      <c r="Q455">
        <v>20</v>
      </c>
      <c r="R455" t="s">
        <v>802</v>
      </c>
      <c r="S455" t="s">
        <v>3083</v>
      </c>
      <c r="T455">
        <f>I455*-0.5+M455*0.5</f>
        <v>0.124</v>
      </c>
      <c r="U455">
        <f>I455*0.7+M455*-0.25+D455*-0.25</f>
        <v>-4.41E-2</v>
      </c>
      <c r="V455">
        <f>J455*0.5+I455*-0.5</f>
        <v>0.36849999999999999</v>
      </c>
      <c r="W455">
        <f>M455*0.5+G455*0.25+I455*0.25</f>
        <v>0.36599999999999999</v>
      </c>
    </row>
    <row r="456" spans="1:23" x14ac:dyDescent="0.2">
      <c r="A456">
        <v>5.3900000000000003E-2</v>
      </c>
      <c r="B456">
        <v>9</v>
      </c>
      <c r="C456">
        <v>4</v>
      </c>
      <c r="D456">
        <v>8.2400000000000001E-2</v>
      </c>
      <c r="E456">
        <v>-4.0330000000000004</v>
      </c>
      <c r="F456">
        <v>214333</v>
      </c>
      <c r="G456">
        <v>0.51700000000000002</v>
      </c>
      <c r="H456">
        <v>214</v>
      </c>
      <c r="I456">
        <v>0.64200000000000002</v>
      </c>
      <c r="J456">
        <v>5.0000000000000001E-3</v>
      </c>
      <c r="K456" t="s">
        <v>757</v>
      </c>
      <c r="L456">
        <v>7</v>
      </c>
      <c r="M456">
        <v>0.89</v>
      </c>
      <c r="N456">
        <v>118.009</v>
      </c>
      <c r="O456" s="1">
        <v>1.47E-5</v>
      </c>
      <c r="P456">
        <v>1</v>
      </c>
      <c r="Q456">
        <v>17</v>
      </c>
      <c r="R456" t="s">
        <v>143</v>
      </c>
      <c r="S456" t="s">
        <v>758</v>
      </c>
      <c r="T456">
        <f>I456*-0.5+M456*0.5</f>
        <v>0.124</v>
      </c>
      <c r="U456">
        <f>I456*0.7+M456*-0.25+D456*-0.25</f>
        <v>0.20629999999999996</v>
      </c>
      <c r="V456">
        <f>J456*0.5+I456*-0.5</f>
        <v>-0.31850000000000001</v>
      </c>
      <c r="W456">
        <f>M456*0.5+G456*0.25+I456*0.25</f>
        <v>0.73475000000000001</v>
      </c>
    </row>
    <row r="457" spans="1:23" x14ac:dyDescent="0.2">
      <c r="A457">
        <v>6.1899999999999997E-2</v>
      </c>
      <c r="B457">
        <v>1</v>
      </c>
      <c r="C457">
        <v>4</v>
      </c>
      <c r="D457">
        <v>0.25700000000000001</v>
      </c>
      <c r="E457">
        <v>-3.8039999999999998</v>
      </c>
      <c r="F457">
        <v>199080</v>
      </c>
      <c r="G457">
        <v>0.57799999999999996</v>
      </c>
      <c r="H457">
        <v>196</v>
      </c>
      <c r="I457">
        <v>0.61899999999999999</v>
      </c>
      <c r="J457">
        <v>7.0099999999999997E-3</v>
      </c>
      <c r="K457" t="s">
        <v>812</v>
      </c>
      <c r="L457">
        <v>54</v>
      </c>
      <c r="M457">
        <v>0.86599999999999999</v>
      </c>
      <c r="N457">
        <v>128.03800000000001</v>
      </c>
      <c r="O457">
        <v>0</v>
      </c>
      <c r="P457">
        <v>1</v>
      </c>
      <c r="Q457">
        <v>5</v>
      </c>
      <c r="R457" t="s">
        <v>189</v>
      </c>
      <c r="S457" t="s">
        <v>813</v>
      </c>
      <c r="T457">
        <f>I457*-0.5+M457*0.5</f>
        <v>0.1235</v>
      </c>
      <c r="U457">
        <f>I457*0.7+M457*-0.25+D457*-0.25</f>
        <v>0.15254999999999996</v>
      </c>
      <c r="V457">
        <f>J457*0.5+I457*-0.5</f>
        <v>-0.30599500000000002</v>
      </c>
      <c r="W457">
        <f>M457*0.5+G457*0.25+I457*0.25</f>
        <v>0.73225000000000007</v>
      </c>
    </row>
    <row r="458" spans="1:23" x14ac:dyDescent="0.2">
      <c r="A458">
        <v>6.1899999999999997E-2</v>
      </c>
      <c r="B458">
        <v>1</v>
      </c>
      <c r="C458">
        <v>4</v>
      </c>
      <c r="D458">
        <v>0.25700000000000001</v>
      </c>
      <c r="E458">
        <v>-3.8039999999999998</v>
      </c>
      <c r="F458">
        <v>199080</v>
      </c>
      <c r="G458">
        <v>0.57799999999999996</v>
      </c>
      <c r="H458">
        <v>196</v>
      </c>
      <c r="I458">
        <v>0.61899999999999999</v>
      </c>
      <c r="J458">
        <v>7.0099999999999997E-3</v>
      </c>
      <c r="K458" t="s">
        <v>812</v>
      </c>
      <c r="L458">
        <v>53</v>
      </c>
      <c r="M458">
        <v>0.86599999999999999</v>
      </c>
      <c r="N458">
        <v>128.03800000000001</v>
      </c>
      <c r="O458">
        <v>0</v>
      </c>
      <c r="P458">
        <v>1</v>
      </c>
      <c r="Q458">
        <v>17</v>
      </c>
      <c r="R458" t="s">
        <v>189</v>
      </c>
      <c r="S458" t="s">
        <v>813</v>
      </c>
      <c r="T458">
        <f>I458*-0.5+M458*0.5</f>
        <v>0.1235</v>
      </c>
      <c r="U458">
        <f>I458*0.7+M458*-0.25+D458*-0.25</f>
        <v>0.15254999999999996</v>
      </c>
      <c r="V458">
        <f>J458*0.5+I458*-0.5</f>
        <v>-0.30599500000000002</v>
      </c>
      <c r="W458">
        <f>M458*0.5+G458*0.25+I458*0.25</f>
        <v>0.73225000000000007</v>
      </c>
    </row>
    <row r="459" spans="1:23" x14ac:dyDescent="0.2">
      <c r="A459">
        <v>3.85E-2</v>
      </c>
      <c r="B459">
        <v>4</v>
      </c>
      <c r="C459">
        <v>4</v>
      </c>
      <c r="D459">
        <v>0.17399999999999999</v>
      </c>
      <c r="E459">
        <v>-7.3470000000000004</v>
      </c>
      <c r="F459">
        <v>202640</v>
      </c>
      <c r="G459">
        <v>0.66900000000000004</v>
      </c>
      <c r="H459">
        <v>199</v>
      </c>
      <c r="I459">
        <v>0.48499999999999999</v>
      </c>
      <c r="J459">
        <v>0.46700000000000003</v>
      </c>
      <c r="K459" t="s">
        <v>2515</v>
      </c>
      <c r="L459">
        <v>47</v>
      </c>
      <c r="M459">
        <v>0.73099999999999998</v>
      </c>
      <c r="N459">
        <v>107.015</v>
      </c>
      <c r="O459" s="1">
        <v>2.2799999999999999E-5</v>
      </c>
      <c r="P459">
        <v>1</v>
      </c>
      <c r="Q459">
        <v>3</v>
      </c>
      <c r="R459" t="s">
        <v>2516</v>
      </c>
      <c r="S459" t="s">
        <v>2517</v>
      </c>
      <c r="T459">
        <f>I459*-0.5+M459*0.5</f>
        <v>0.123</v>
      </c>
      <c r="U459">
        <f>I459*0.7+M459*-0.25+D459*-0.25</f>
        <v>0.11324999999999998</v>
      </c>
      <c r="V459">
        <f>J459*0.5+I459*-0.5</f>
        <v>-8.9999999999999802E-3</v>
      </c>
      <c r="W459">
        <f>M459*0.5+G459*0.25+I459*0.25</f>
        <v>0.65400000000000003</v>
      </c>
    </row>
    <row r="460" spans="1:23" x14ac:dyDescent="0.2">
      <c r="A460">
        <v>9.5799999999999996E-2</v>
      </c>
      <c r="B460">
        <v>1</v>
      </c>
      <c r="C460">
        <v>4</v>
      </c>
      <c r="D460">
        <v>0.189</v>
      </c>
      <c r="E460">
        <v>-3.7850000000000001</v>
      </c>
      <c r="F460">
        <v>200387</v>
      </c>
      <c r="G460">
        <v>0.57999999999999996</v>
      </c>
      <c r="H460">
        <v>199</v>
      </c>
      <c r="I460">
        <v>0.67600000000000005</v>
      </c>
      <c r="J460">
        <v>9.1700000000000004E-2</v>
      </c>
      <c r="K460" t="s">
        <v>1028</v>
      </c>
      <c r="L460">
        <v>14</v>
      </c>
      <c r="M460">
        <v>0.92200000000000004</v>
      </c>
      <c r="N460">
        <v>89.840999999999994</v>
      </c>
      <c r="O460">
        <v>0</v>
      </c>
      <c r="P460">
        <v>1</v>
      </c>
      <c r="Q460">
        <v>14</v>
      </c>
      <c r="R460" t="s">
        <v>729</v>
      </c>
      <c r="S460" t="s">
        <v>1029</v>
      </c>
      <c r="T460">
        <f>I460*-0.5+M460*0.5</f>
        <v>0.123</v>
      </c>
      <c r="U460">
        <f>I460*0.7+M460*-0.25+D460*-0.25</f>
        <v>0.19545000000000001</v>
      </c>
      <c r="V460">
        <f>J460*0.5+I460*-0.5</f>
        <v>-0.29215000000000002</v>
      </c>
      <c r="W460">
        <f>M460*0.5+G460*0.25+I460*0.25</f>
        <v>0.77500000000000002</v>
      </c>
    </row>
    <row r="461" spans="1:23" x14ac:dyDescent="0.2">
      <c r="A461">
        <v>3.1899999999999998E-2</v>
      </c>
      <c r="B461">
        <v>0</v>
      </c>
      <c r="C461">
        <v>3</v>
      </c>
      <c r="D461">
        <v>0.187</v>
      </c>
      <c r="E461">
        <v>-4.2539999999999996</v>
      </c>
      <c r="F461">
        <v>238520</v>
      </c>
      <c r="G461">
        <v>0.39500000000000002</v>
      </c>
      <c r="H461">
        <v>238</v>
      </c>
      <c r="I461">
        <v>0.434</v>
      </c>
      <c r="J461">
        <v>0.26100000000000001</v>
      </c>
      <c r="K461" t="s">
        <v>2088</v>
      </c>
      <c r="L461">
        <v>11</v>
      </c>
      <c r="M461">
        <v>0.67900000000000005</v>
      </c>
      <c r="N461">
        <v>185.42099999999999</v>
      </c>
      <c r="O461">
        <v>0</v>
      </c>
      <c r="P461">
        <v>1</v>
      </c>
      <c r="Q461">
        <v>10</v>
      </c>
      <c r="R461" t="s">
        <v>1145</v>
      </c>
      <c r="S461" t="s">
        <v>2089</v>
      </c>
      <c r="T461">
        <f>I461*-0.5+M461*0.5</f>
        <v>0.12250000000000003</v>
      </c>
      <c r="U461">
        <f>I461*0.7+M461*-0.25+D461*-0.25</f>
        <v>8.7299999999999947E-2</v>
      </c>
      <c r="V461">
        <f>J461*0.5+I461*-0.5</f>
        <v>-8.6499999999999994E-2</v>
      </c>
      <c r="W461">
        <f>M461*0.5+G461*0.25+I461*0.25</f>
        <v>0.54675000000000007</v>
      </c>
    </row>
    <row r="462" spans="1:23" x14ac:dyDescent="0.2">
      <c r="A462">
        <v>3.8899999999999997E-2</v>
      </c>
      <c r="B462">
        <v>0</v>
      </c>
      <c r="C462">
        <v>4</v>
      </c>
      <c r="D462">
        <v>0.11</v>
      </c>
      <c r="E462">
        <v>-6.5170000000000003</v>
      </c>
      <c r="F462">
        <v>172724</v>
      </c>
      <c r="G462">
        <v>0.47899999999999998</v>
      </c>
      <c r="H462">
        <v>171</v>
      </c>
      <c r="I462">
        <v>0.17399999999999999</v>
      </c>
      <c r="J462">
        <v>0.56799999999999995</v>
      </c>
      <c r="K462" t="s">
        <v>2914</v>
      </c>
      <c r="L462">
        <v>51</v>
      </c>
      <c r="M462">
        <v>0.41899999999999998</v>
      </c>
      <c r="N462">
        <v>85.013999999999996</v>
      </c>
      <c r="O462">
        <v>2.1699999999999999E-4</v>
      </c>
      <c r="P462">
        <v>1</v>
      </c>
      <c r="Q462">
        <v>14</v>
      </c>
      <c r="R462" t="s">
        <v>2915</v>
      </c>
      <c r="S462" t="s">
        <v>2916</v>
      </c>
      <c r="T462">
        <f>I462*-0.5+M462*0.5</f>
        <v>0.1225</v>
      </c>
      <c r="U462">
        <f>I462*0.7+M462*-0.25+D462*-0.25</f>
        <v>-1.0450000000000018E-2</v>
      </c>
      <c r="V462">
        <f>J462*0.5+I462*-0.5</f>
        <v>0.19699999999999998</v>
      </c>
      <c r="W462">
        <f>M462*0.5+G462*0.25+I462*0.25</f>
        <v>0.37274999999999997</v>
      </c>
    </row>
    <row r="463" spans="1:23" x14ac:dyDescent="0.2">
      <c r="A463">
        <v>4.48E-2</v>
      </c>
      <c r="B463">
        <v>4</v>
      </c>
      <c r="C463">
        <v>4</v>
      </c>
      <c r="D463">
        <v>0.11799999999999999</v>
      </c>
      <c r="E463">
        <v>-3.286</v>
      </c>
      <c r="F463">
        <v>189418</v>
      </c>
      <c r="G463">
        <v>0.496</v>
      </c>
      <c r="H463">
        <v>187</v>
      </c>
      <c r="I463">
        <v>0.66800000000000004</v>
      </c>
      <c r="J463">
        <v>1.01E-2</v>
      </c>
      <c r="K463" t="s">
        <v>740</v>
      </c>
      <c r="L463">
        <v>55</v>
      </c>
      <c r="M463">
        <v>0.91300000000000003</v>
      </c>
      <c r="N463">
        <v>165.98099999999999</v>
      </c>
      <c r="O463">
        <v>0</v>
      </c>
      <c r="P463">
        <v>1</v>
      </c>
      <c r="Q463">
        <v>20</v>
      </c>
      <c r="R463" t="s">
        <v>741</v>
      </c>
      <c r="S463" t="s">
        <v>742</v>
      </c>
      <c r="T463">
        <f>I463*-0.5+M463*0.5</f>
        <v>0.1225</v>
      </c>
      <c r="U463">
        <f>I463*0.7+M463*-0.25+D463*-0.25</f>
        <v>0.20985000000000001</v>
      </c>
      <c r="V463">
        <f>J463*0.5+I463*-0.5</f>
        <v>-0.32895000000000002</v>
      </c>
      <c r="W463">
        <f>M463*0.5+G463*0.25+I463*0.25</f>
        <v>0.74750000000000005</v>
      </c>
    </row>
    <row r="464" spans="1:23" x14ac:dyDescent="0.2">
      <c r="A464">
        <v>0.22600000000000001</v>
      </c>
      <c r="B464">
        <v>0</v>
      </c>
      <c r="C464">
        <v>4</v>
      </c>
      <c r="D464">
        <v>7.8700000000000006E-2</v>
      </c>
      <c r="E464">
        <v>-3.282</v>
      </c>
      <c r="F464">
        <v>183750</v>
      </c>
      <c r="G464">
        <v>0.80700000000000005</v>
      </c>
      <c r="H464">
        <v>181</v>
      </c>
      <c r="I464">
        <v>0.67100000000000004</v>
      </c>
      <c r="J464">
        <v>1.34E-2</v>
      </c>
      <c r="K464" t="s">
        <v>747</v>
      </c>
      <c r="L464">
        <v>50</v>
      </c>
      <c r="M464">
        <v>0.91600000000000004</v>
      </c>
      <c r="N464">
        <v>127.973</v>
      </c>
      <c r="O464" s="1">
        <v>1.22E-5</v>
      </c>
      <c r="P464">
        <v>1</v>
      </c>
      <c r="Q464">
        <v>8</v>
      </c>
      <c r="R464" t="s">
        <v>748</v>
      </c>
      <c r="S464" t="s">
        <v>749</v>
      </c>
      <c r="T464">
        <f>I464*-0.5+M464*0.5</f>
        <v>0.1225</v>
      </c>
      <c r="U464">
        <f>I464*0.7+M464*-0.25+D464*-0.25</f>
        <v>0.221025</v>
      </c>
      <c r="V464">
        <f>J464*0.5+I464*-0.5</f>
        <v>-0.32880000000000004</v>
      </c>
      <c r="W464">
        <f>M464*0.5+G464*0.25+I464*0.25</f>
        <v>0.82750000000000012</v>
      </c>
    </row>
    <row r="465" spans="1:23" x14ac:dyDescent="0.2">
      <c r="A465">
        <v>4.8899999999999999E-2</v>
      </c>
      <c r="B465">
        <v>1</v>
      </c>
      <c r="C465">
        <v>4</v>
      </c>
      <c r="D465">
        <v>8.9700000000000002E-2</v>
      </c>
      <c r="E465">
        <v>-4.234</v>
      </c>
      <c r="F465">
        <v>208785</v>
      </c>
      <c r="G465">
        <v>0.69</v>
      </c>
      <c r="H465">
        <v>209</v>
      </c>
      <c r="I465">
        <v>0.45900000000000002</v>
      </c>
      <c r="J465">
        <v>4.5699999999999998E-2</v>
      </c>
      <c r="K465" t="s">
        <v>1283</v>
      </c>
      <c r="L465">
        <v>56</v>
      </c>
      <c r="M465">
        <v>0.70399999999999996</v>
      </c>
      <c r="N465">
        <v>99.960999999999999</v>
      </c>
      <c r="O465" s="1">
        <v>1.03E-5</v>
      </c>
      <c r="P465">
        <v>0</v>
      </c>
      <c r="Q465">
        <v>22</v>
      </c>
      <c r="R465" t="s">
        <v>1284</v>
      </c>
      <c r="S465" t="s">
        <v>1285</v>
      </c>
      <c r="T465">
        <f>I465*-0.5+M465*0.5</f>
        <v>0.12249999999999997</v>
      </c>
      <c r="U465">
        <f>I465*0.7+M465*-0.25+D465*-0.25</f>
        <v>0.12287499999999998</v>
      </c>
      <c r="V465">
        <f>J465*0.5+I465*-0.5</f>
        <v>-0.20665</v>
      </c>
      <c r="W465">
        <f>M465*0.5+G465*0.25+I465*0.25</f>
        <v>0.63924999999999998</v>
      </c>
    </row>
    <row r="466" spans="1:23" x14ac:dyDescent="0.2">
      <c r="A466">
        <v>6.2799999999999995E-2</v>
      </c>
      <c r="B466">
        <v>11</v>
      </c>
      <c r="C466">
        <v>4</v>
      </c>
      <c r="D466">
        <v>5.6300000000000003E-2</v>
      </c>
      <c r="E466">
        <v>-5.9080000000000004</v>
      </c>
      <c r="F466">
        <v>261640</v>
      </c>
      <c r="G466">
        <v>0.50800000000000001</v>
      </c>
      <c r="H466">
        <v>223</v>
      </c>
      <c r="I466">
        <v>0.47599999999999998</v>
      </c>
      <c r="J466">
        <v>0.27200000000000002</v>
      </c>
      <c r="K466" t="s">
        <v>2068</v>
      </c>
      <c r="L466">
        <v>31</v>
      </c>
      <c r="M466">
        <v>0.72</v>
      </c>
      <c r="N466">
        <v>79.983000000000004</v>
      </c>
      <c r="O466">
        <v>0</v>
      </c>
      <c r="P466">
        <v>0</v>
      </c>
      <c r="Q466">
        <v>9</v>
      </c>
      <c r="R466" t="s">
        <v>1459</v>
      </c>
      <c r="S466" t="s">
        <v>2069</v>
      </c>
      <c r="T466">
        <f>I466*-0.5+M466*0.5</f>
        <v>0.122</v>
      </c>
      <c r="U466">
        <f>I466*0.7+M466*-0.25+D466*-0.25</f>
        <v>0.13912499999999994</v>
      </c>
      <c r="V466">
        <f>J466*0.5+I466*-0.5</f>
        <v>-0.10199999999999998</v>
      </c>
      <c r="W466">
        <f>M466*0.5+G466*0.25+I466*0.25</f>
        <v>0.60599999999999998</v>
      </c>
    </row>
    <row r="467" spans="1:23" x14ac:dyDescent="0.2">
      <c r="A467">
        <v>6.2600000000000003E-2</v>
      </c>
      <c r="B467">
        <v>2</v>
      </c>
      <c r="C467">
        <v>4</v>
      </c>
      <c r="D467">
        <v>0.38300000000000001</v>
      </c>
      <c r="E467">
        <v>-5.774</v>
      </c>
      <c r="F467">
        <v>266294</v>
      </c>
      <c r="G467">
        <v>0.59399999999999997</v>
      </c>
      <c r="H467">
        <v>265</v>
      </c>
      <c r="I467">
        <v>0.48499999999999999</v>
      </c>
      <c r="J467">
        <v>0.27100000000000002</v>
      </c>
      <c r="K467" t="s">
        <v>2054</v>
      </c>
      <c r="L467">
        <v>51</v>
      </c>
      <c r="M467">
        <v>0.72899999999999998</v>
      </c>
      <c r="N467">
        <v>86.031999999999996</v>
      </c>
      <c r="O467">
        <v>0</v>
      </c>
      <c r="P467">
        <v>1</v>
      </c>
      <c r="Q467">
        <v>6</v>
      </c>
      <c r="R467" t="s">
        <v>998</v>
      </c>
      <c r="S467" t="s">
        <v>2055</v>
      </c>
      <c r="T467">
        <f>I467*-0.5+M467*0.5</f>
        <v>0.122</v>
      </c>
      <c r="U467">
        <f>I467*0.7+M467*-0.25+D467*-0.25</f>
        <v>6.1499999999999971E-2</v>
      </c>
      <c r="V467">
        <f>J467*0.5+I467*-0.5</f>
        <v>-0.10699999999999998</v>
      </c>
      <c r="W467">
        <f>M467*0.5+G467*0.25+I467*0.25</f>
        <v>0.63424999999999998</v>
      </c>
    </row>
    <row r="468" spans="1:23" x14ac:dyDescent="0.2">
      <c r="A468">
        <v>9.3899999999999997E-2</v>
      </c>
      <c r="B468">
        <v>4</v>
      </c>
      <c r="C468">
        <v>4</v>
      </c>
      <c r="D468">
        <v>0.60799999999999998</v>
      </c>
      <c r="E468">
        <v>-4.92</v>
      </c>
      <c r="F468">
        <v>243000</v>
      </c>
      <c r="G468">
        <v>0.57799999999999996</v>
      </c>
      <c r="H468">
        <v>244</v>
      </c>
      <c r="I468">
        <v>0.628</v>
      </c>
      <c r="J468">
        <v>0.215</v>
      </c>
      <c r="K468" t="s">
        <v>1653</v>
      </c>
      <c r="L468">
        <v>2</v>
      </c>
      <c r="M468">
        <v>0.872</v>
      </c>
      <c r="N468">
        <v>95.49</v>
      </c>
      <c r="O468">
        <v>2.6400000000000002E-4</v>
      </c>
      <c r="P468">
        <v>0</v>
      </c>
      <c r="Q468">
        <v>12</v>
      </c>
      <c r="R468" t="s">
        <v>1654</v>
      </c>
      <c r="S468" t="s">
        <v>1655</v>
      </c>
      <c r="T468">
        <f>I468*-0.5+M468*0.5</f>
        <v>0.122</v>
      </c>
      <c r="U468">
        <f>I468*0.7+M468*-0.25+D468*-0.25</f>
        <v>6.9599999999999995E-2</v>
      </c>
      <c r="V468">
        <f>J468*0.5+I468*-0.5</f>
        <v>-0.20650000000000002</v>
      </c>
      <c r="W468">
        <f>M468*0.5+G468*0.25+I468*0.25</f>
        <v>0.73750000000000004</v>
      </c>
    </row>
    <row r="469" spans="1:23" x14ac:dyDescent="0.2">
      <c r="A469">
        <v>0.104</v>
      </c>
      <c r="B469">
        <v>8</v>
      </c>
      <c r="C469">
        <v>4</v>
      </c>
      <c r="D469">
        <v>9.7100000000000006E-2</v>
      </c>
      <c r="E469">
        <v>-6.0549999999999997</v>
      </c>
      <c r="F469">
        <v>231067</v>
      </c>
      <c r="G469">
        <v>0.92500000000000004</v>
      </c>
      <c r="H469">
        <v>231</v>
      </c>
      <c r="I469">
        <v>0.27600000000000002</v>
      </c>
      <c r="J469">
        <v>4.1200000000000004E-3</v>
      </c>
      <c r="K469" t="s">
        <v>1539</v>
      </c>
      <c r="L469">
        <v>52</v>
      </c>
      <c r="M469">
        <v>0.51900000000000002</v>
      </c>
      <c r="N469">
        <v>120.08</v>
      </c>
      <c r="O469">
        <v>0</v>
      </c>
      <c r="P469">
        <v>1</v>
      </c>
      <c r="Q469">
        <v>21</v>
      </c>
      <c r="R469" t="s">
        <v>1540</v>
      </c>
      <c r="S469" t="s">
        <v>1541</v>
      </c>
      <c r="T469">
        <f>I469*-0.5+M469*0.5</f>
        <v>0.1215</v>
      </c>
      <c r="U469">
        <f>I469*0.7+M469*-0.25+D469*-0.25</f>
        <v>3.9175000000000001E-2</v>
      </c>
      <c r="V469">
        <f>J469*0.5+I469*-0.5</f>
        <v>-0.13594000000000001</v>
      </c>
      <c r="W469">
        <f>M469*0.5+G469*0.25+I469*0.25</f>
        <v>0.55974999999999997</v>
      </c>
    </row>
    <row r="470" spans="1:23" x14ac:dyDescent="0.2">
      <c r="A470">
        <v>3.7999999999999999E-2</v>
      </c>
      <c r="B470">
        <v>1</v>
      </c>
      <c r="C470">
        <v>4</v>
      </c>
      <c r="D470">
        <v>0.11600000000000001</v>
      </c>
      <c r="E470">
        <v>-4.944</v>
      </c>
      <c r="F470">
        <v>257840</v>
      </c>
      <c r="G470">
        <v>0.66300000000000003</v>
      </c>
      <c r="H470">
        <v>255</v>
      </c>
      <c r="I470">
        <v>0.47099999999999997</v>
      </c>
      <c r="J470">
        <v>6.4899999999999999E-2</v>
      </c>
      <c r="K470" t="s">
        <v>1336</v>
      </c>
      <c r="L470">
        <v>49</v>
      </c>
      <c r="M470">
        <v>0.71399999999999997</v>
      </c>
      <c r="N470">
        <v>121.99</v>
      </c>
      <c r="O470">
        <v>0</v>
      </c>
      <c r="P470">
        <v>0</v>
      </c>
      <c r="Q470">
        <v>8</v>
      </c>
      <c r="R470" t="s">
        <v>146</v>
      </c>
      <c r="S470" t="s">
        <v>1337</v>
      </c>
      <c r="T470">
        <f>I470*-0.5+M470*0.5</f>
        <v>0.1215</v>
      </c>
      <c r="U470">
        <f>I470*0.7+M470*-0.25+D470*-0.25</f>
        <v>0.12219999999999995</v>
      </c>
      <c r="V470">
        <f>J470*0.5+I470*-0.5</f>
        <v>-0.20304999999999998</v>
      </c>
      <c r="W470">
        <f>M470*0.5+G470*0.25+I470*0.25</f>
        <v>0.64050000000000007</v>
      </c>
    </row>
    <row r="471" spans="1:23" x14ac:dyDescent="0.2">
      <c r="A471">
        <v>5.28E-2</v>
      </c>
      <c r="B471">
        <v>6</v>
      </c>
      <c r="C471">
        <v>4</v>
      </c>
      <c r="D471">
        <v>0.14499999999999999</v>
      </c>
      <c r="E471">
        <v>-6.1390000000000002</v>
      </c>
      <c r="F471">
        <v>215672</v>
      </c>
      <c r="G471">
        <v>0.64600000000000002</v>
      </c>
      <c r="H471">
        <v>212</v>
      </c>
      <c r="I471">
        <v>0.34499999999999997</v>
      </c>
      <c r="J471">
        <v>4.0299999999999997E-3</v>
      </c>
      <c r="K471" t="s">
        <v>1373</v>
      </c>
      <c r="L471">
        <v>50</v>
      </c>
      <c r="M471">
        <v>0.58699999999999997</v>
      </c>
      <c r="N471">
        <v>131.93199999999999</v>
      </c>
      <c r="O471">
        <v>0</v>
      </c>
      <c r="P471">
        <v>1</v>
      </c>
      <c r="Q471">
        <v>2</v>
      </c>
      <c r="R471" t="s">
        <v>1374</v>
      </c>
      <c r="S471" t="s">
        <v>1375</v>
      </c>
      <c r="T471">
        <f>I471*-0.5+M471*0.5</f>
        <v>0.121</v>
      </c>
      <c r="U471">
        <f>I471*0.7+M471*-0.25+D471*-0.25</f>
        <v>5.8499999999999976E-2</v>
      </c>
      <c r="V471">
        <f>J471*0.5+I471*-0.5</f>
        <v>-0.170485</v>
      </c>
      <c r="W471">
        <f>M471*0.5+G471*0.25+I471*0.25</f>
        <v>0.54125000000000001</v>
      </c>
    </row>
    <row r="472" spans="1:23" x14ac:dyDescent="0.2">
      <c r="A472">
        <v>5.9400000000000001E-2</v>
      </c>
      <c r="B472">
        <v>7</v>
      </c>
      <c r="C472">
        <v>4</v>
      </c>
      <c r="D472">
        <v>0.17399999999999999</v>
      </c>
      <c r="E472">
        <v>-4.984</v>
      </c>
      <c r="F472">
        <v>249293</v>
      </c>
      <c r="G472">
        <v>0.64900000000000002</v>
      </c>
      <c r="H472">
        <v>248</v>
      </c>
      <c r="I472">
        <v>0.47599999999999998</v>
      </c>
      <c r="J472">
        <v>6.7600000000000004E-3</v>
      </c>
      <c r="K472" t="s">
        <v>1127</v>
      </c>
      <c r="L472">
        <v>12</v>
      </c>
      <c r="M472">
        <v>0.71799999999999997</v>
      </c>
      <c r="N472">
        <v>79.992999999999995</v>
      </c>
      <c r="O472" s="1">
        <v>4.2599999999999999E-6</v>
      </c>
      <c r="P472">
        <v>0</v>
      </c>
      <c r="Q472">
        <v>13</v>
      </c>
      <c r="R472" t="s">
        <v>1128</v>
      </c>
      <c r="S472" t="s">
        <v>1129</v>
      </c>
      <c r="T472">
        <f>I472*-0.5+M472*0.5</f>
        <v>0.121</v>
      </c>
      <c r="U472">
        <f>I472*0.7+M472*-0.25+D472*-0.25</f>
        <v>0.11019999999999995</v>
      </c>
      <c r="V472">
        <f>J472*0.5+I472*-0.5</f>
        <v>-0.23462</v>
      </c>
      <c r="W472">
        <f>M472*0.5+G472*0.25+I472*0.25</f>
        <v>0.64024999999999999</v>
      </c>
    </row>
    <row r="473" spans="1:23" x14ac:dyDescent="0.2">
      <c r="A473">
        <v>6.83E-2</v>
      </c>
      <c r="B473">
        <v>9</v>
      </c>
      <c r="C473">
        <v>4</v>
      </c>
      <c r="D473">
        <v>9.4799999999999995E-2</v>
      </c>
      <c r="E473">
        <v>-4.3860000000000001</v>
      </c>
      <c r="F473">
        <v>227307</v>
      </c>
      <c r="G473">
        <v>0.79800000000000004</v>
      </c>
      <c r="H473">
        <v>225</v>
      </c>
      <c r="I473">
        <v>0.57899999999999996</v>
      </c>
      <c r="J473">
        <v>0.316</v>
      </c>
      <c r="K473" t="s">
        <v>2046</v>
      </c>
      <c r="L473">
        <v>49</v>
      </c>
      <c r="M473">
        <v>0.82099999999999995</v>
      </c>
      <c r="N473">
        <v>97.492000000000004</v>
      </c>
      <c r="O473" s="1">
        <v>8.6000000000000007E-6</v>
      </c>
      <c r="P473">
        <v>1</v>
      </c>
      <c r="Q473">
        <v>10</v>
      </c>
      <c r="R473" t="s">
        <v>2047</v>
      </c>
      <c r="S473" t="s">
        <v>2048</v>
      </c>
      <c r="T473">
        <f>I473*-0.5+M473*0.5</f>
        <v>0.121</v>
      </c>
      <c r="U473">
        <f>I473*0.7+M473*-0.25+D473*-0.25</f>
        <v>0.17634999999999995</v>
      </c>
      <c r="V473">
        <f>J473*0.5+I473*-0.5</f>
        <v>-0.13149999999999998</v>
      </c>
      <c r="W473">
        <f>M473*0.5+G473*0.25+I473*0.25</f>
        <v>0.75475000000000003</v>
      </c>
    </row>
    <row r="474" spans="1:23" x14ac:dyDescent="0.2">
      <c r="A474">
        <v>3.0700000000000002E-2</v>
      </c>
      <c r="B474">
        <v>5</v>
      </c>
      <c r="C474">
        <v>4</v>
      </c>
      <c r="D474">
        <v>8.2299999999999998E-2</v>
      </c>
      <c r="E474">
        <v>-3.4470000000000001</v>
      </c>
      <c r="F474">
        <v>209160</v>
      </c>
      <c r="G474">
        <v>0.72899999999999998</v>
      </c>
      <c r="H474">
        <v>205</v>
      </c>
      <c r="I474">
        <v>0.41199999999999998</v>
      </c>
      <c r="J474">
        <v>6.9000000000000006E-2</v>
      </c>
      <c r="K474" t="s">
        <v>1528</v>
      </c>
      <c r="L474">
        <v>53</v>
      </c>
      <c r="M474">
        <v>0.65300000000000002</v>
      </c>
      <c r="N474">
        <v>110.045</v>
      </c>
      <c r="O474" s="1">
        <v>6.0000000000000002E-5</v>
      </c>
      <c r="P474">
        <v>1</v>
      </c>
      <c r="Q474">
        <v>5</v>
      </c>
      <c r="R474" t="s">
        <v>167</v>
      </c>
      <c r="S474" t="s">
        <v>1529</v>
      </c>
      <c r="T474">
        <f>I474*-0.5+M474*0.5</f>
        <v>0.12050000000000002</v>
      </c>
      <c r="U474">
        <f>I474*0.7+M474*-0.25+D474*-0.25</f>
        <v>0.10457499999999999</v>
      </c>
      <c r="V474">
        <f>J474*0.5+I474*-0.5</f>
        <v>-0.17149999999999999</v>
      </c>
      <c r="W474">
        <f>M474*0.5+G474*0.25+I474*0.25</f>
        <v>0.61175000000000002</v>
      </c>
    </row>
    <row r="475" spans="1:23" x14ac:dyDescent="0.2">
      <c r="A475">
        <v>0.222</v>
      </c>
      <c r="B475">
        <v>7</v>
      </c>
      <c r="C475">
        <v>4</v>
      </c>
      <c r="D475">
        <v>0.10299999999999999</v>
      </c>
      <c r="E475">
        <v>-4.7220000000000004</v>
      </c>
      <c r="F475">
        <v>228907</v>
      </c>
      <c r="G475">
        <v>0.86199999999999999</v>
      </c>
      <c r="H475">
        <v>226</v>
      </c>
      <c r="I475">
        <v>0.501</v>
      </c>
      <c r="J475">
        <v>3.7599999999999999E-3</v>
      </c>
      <c r="K475" t="s">
        <v>1054</v>
      </c>
      <c r="L475">
        <v>23</v>
      </c>
      <c r="M475">
        <v>0.74199999999999999</v>
      </c>
      <c r="N475">
        <v>127.91</v>
      </c>
      <c r="O475">
        <v>8.5500000000000003E-3</v>
      </c>
      <c r="P475">
        <v>1</v>
      </c>
      <c r="Q475">
        <v>5</v>
      </c>
      <c r="R475" t="s">
        <v>714</v>
      </c>
      <c r="S475" t="s">
        <v>1055</v>
      </c>
      <c r="T475">
        <f>I475*-0.5+M475*0.5</f>
        <v>0.1205</v>
      </c>
      <c r="U475">
        <f>I475*0.7+M475*-0.25+D475*-0.25</f>
        <v>0.13944999999999996</v>
      </c>
      <c r="V475">
        <f>J475*0.5+I475*-0.5</f>
        <v>-0.24862000000000001</v>
      </c>
      <c r="W475">
        <f>M475*0.5+G475*0.25+I475*0.25</f>
        <v>0.71174999999999999</v>
      </c>
    </row>
    <row r="476" spans="1:23" x14ac:dyDescent="0.2">
      <c r="A476">
        <v>0.128</v>
      </c>
      <c r="B476">
        <v>5</v>
      </c>
      <c r="C476">
        <v>4</v>
      </c>
      <c r="D476">
        <v>4.9599999999999998E-2</v>
      </c>
      <c r="E476">
        <v>-3.726</v>
      </c>
      <c r="F476">
        <v>203920</v>
      </c>
      <c r="G476">
        <v>0.82599999999999996</v>
      </c>
      <c r="H476">
        <v>216</v>
      </c>
      <c r="I476">
        <v>0.62</v>
      </c>
      <c r="J476">
        <v>1.11E-2</v>
      </c>
      <c r="K476" t="s">
        <v>861</v>
      </c>
      <c r="L476">
        <v>42</v>
      </c>
      <c r="M476">
        <v>0.86099999999999999</v>
      </c>
      <c r="N476">
        <v>129.94800000000001</v>
      </c>
      <c r="O476" s="1">
        <v>3.01E-6</v>
      </c>
      <c r="P476">
        <v>0</v>
      </c>
      <c r="Q476">
        <v>19</v>
      </c>
      <c r="R476" t="s">
        <v>862</v>
      </c>
      <c r="S476" t="s">
        <v>863</v>
      </c>
      <c r="T476">
        <f>I476*-0.5+M476*0.5</f>
        <v>0.1205</v>
      </c>
      <c r="U476">
        <f>I476*0.7+M476*-0.25+D476*-0.25</f>
        <v>0.20635000000000001</v>
      </c>
      <c r="V476">
        <f>J476*0.5+I476*-0.5</f>
        <v>-0.30445</v>
      </c>
      <c r="W476">
        <f>M476*0.5+G476*0.25+I476*0.25</f>
        <v>0.79200000000000004</v>
      </c>
    </row>
    <row r="477" spans="1:23" x14ac:dyDescent="0.2">
      <c r="A477">
        <v>8.1500000000000003E-2</v>
      </c>
      <c r="B477">
        <v>0</v>
      </c>
      <c r="C477">
        <v>4</v>
      </c>
      <c r="D477">
        <v>0.54900000000000004</v>
      </c>
      <c r="E477">
        <v>-3.7160000000000002</v>
      </c>
      <c r="F477">
        <v>196413</v>
      </c>
      <c r="G477">
        <v>0.59399999999999997</v>
      </c>
      <c r="H477">
        <v>195</v>
      </c>
      <c r="I477">
        <v>0.63300000000000001</v>
      </c>
      <c r="J477">
        <v>1.1599999999999999E-2</v>
      </c>
      <c r="K477" t="s">
        <v>849</v>
      </c>
      <c r="L477">
        <v>32</v>
      </c>
      <c r="M477">
        <v>0.874</v>
      </c>
      <c r="N477">
        <v>119.964</v>
      </c>
      <c r="O477">
        <v>0</v>
      </c>
      <c r="P477">
        <v>1</v>
      </c>
      <c r="Q477">
        <v>17</v>
      </c>
      <c r="R477" t="s">
        <v>850</v>
      </c>
      <c r="S477" t="s">
        <v>851</v>
      </c>
      <c r="T477">
        <f>I477*-0.5+M477*0.5</f>
        <v>0.1205</v>
      </c>
      <c r="U477">
        <f>I477*0.7+M477*-0.25+D477*-0.25</f>
        <v>8.7349999999999983E-2</v>
      </c>
      <c r="V477">
        <f>J477*0.5+I477*-0.5</f>
        <v>-0.31069999999999998</v>
      </c>
      <c r="W477">
        <f>M477*0.5+G477*0.25+I477*0.25</f>
        <v>0.74375000000000002</v>
      </c>
    </row>
    <row r="478" spans="1:23" x14ac:dyDescent="0.2">
      <c r="A478">
        <v>0.115</v>
      </c>
      <c r="B478">
        <v>7</v>
      </c>
      <c r="C478">
        <v>4</v>
      </c>
      <c r="D478">
        <v>0.155</v>
      </c>
      <c r="E478">
        <v>-3.839</v>
      </c>
      <c r="F478">
        <v>239613</v>
      </c>
      <c r="G478">
        <v>0.59099999999999997</v>
      </c>
      <c r="H478">
        <v>234</v>
      </c>
      <c r="I478">
        <v>0.64800000000000002</v>
      </c>
      <c r="J478">
        <v>1.89E-2</v>
      </c>
      <c r="K478" t="s">
        <v>846</v>
      </c>
      <c r="L478">
        <v>39</v>
      </c>
      <c r="M478">
        <v>0.88900000000000001</v>
      </c>
      <c r="N478">
        <v>143.06700000000001</v>
      </c>
      <c r="O478">
        <v>0</v>
      </c>
      <c r="P478">
        <v>1</v>
      </c>
      <c r="Q478">
        <v>7</v>
      </c>
      <c r="R478" t="s">
        <v>847</v>
      </c>
      <c r="S478" t="s">
        <v>848</v>
      </c>
      <c r="T478">
        <f>I478*-0.5+M478*0.5</f>
        <v>0.1205</v>
      </c>
      <c r="U478">
        <f>I478*0.7+M478*-0.25+D478*-0.25</f>
        <v>0.19259999999999999</v>
      </c>
      <c r="V478">
        <f>J478*0.5+I478*-0.5</f>
        <v>-0.31455</v>
      </c>
      <c r="W478">
        <f>M478*0.5+G478*0.25+I478*0.25</f>
        <v>0.75424999999999998</v>
      </c>
    </row>
    <row r="479" spans="1:23" x14ac:dyDescent="0.2">
      <c r="A479">
        <v>4.24E-2</v>
      </c>
      <c r="B479">
        <v>4</v>
      </c>
      <c r="C479">
        <v>4</v>
      </c>
      <c r="D479">
        <v>0.36299999999999999</v>
      </c>
      <c r="E479">
        <v>-4.6959999999999997</v>
      </c>
      <c r="F479">
        <v>231387</v>
      </c>
      <c r="G479">
        <v>0.74</v>
      </c>
      <c r="H479">
        <v>221</v>
      </c>
      <c r="I479">
        <v>0.50600000000000001</v>
      </c>
      <c r="J479">
        <v>1.9800000000000002E-2</v>
      </c>
      <c r="K479" t="s">
        <v>1130</v>
      </c>
      <c r="L479">
        <v>43</v>
      </c>
      <c r="M479">
        <v>0.746</v>
      </c>
      <c r="N479">
        <v>110.01</v>
      </c>
      <c r="O479">
        <v>0</v>
      </c>
      <c r="P479">
        <v>1</v>
      </c>
      <c r="Q479">
        <v>3</v>
      </c>
      <c r="R479" t="s">
        <v>108</v>
      </c>
      <c r="S479" t="s">
        <v>1131</v>
      </c>
      <c r="T479">
        <f>I479*-0.5+M479*0.5</f>
        <v>0.12</v>
      </c>
      <c r="U479">
        <f>I479*0.7+M479*-0.25+D479*-0.25</f>
        <v>7.6949999999999963E-2</v>
      </c>
      <c r="V479">
        <f>J479*0.5+I479*-0.5</f>
        <v>-0.24310000000000001</v>
      </c>
      <c r="W479">
        <f>M479*0.5+G479*0.25+I479*0.25</f>
        <v>0.68450000000000011</v>
      </c>
    </row>
    <row r="480" spans="1:23" x14ac:dyDescent="0.2">
      <c r="A480">
        <v>0.14599999999999999</v>
      </c>
      <c r="B480">
        <v>9</v>
      </c>
      <c r="C480">
        <v>4</v>
      </c>
      <c r="D480">
        <v>0.129</v>
      </c>
      <c r="E480">
        <v>-4.0199999999999996</v>
      </c>
      <c r="F480">
        <v>215747</v>
      </c>
      <c r="G480">
        <v>0.442</v>
      </c>
      <c r="H480">
        <v>203</v>
      </c>
      <c r="I480">
        <v>0.59</v>
      </c>
      <c r="J480">
        <v>0.128</v>
      </c>
      <c r="K480" t="s">
        <v>1376</v>
      </c>
      <c r="L480">
        <v>35</v>
      </c>
      <c r="M480">
        <v>0.83</v>
      </c>
      <c r="N480">
        <v>89.337999999999994</v>
      </c>
      <c r="O480">
        <v>0</v>
      </c>
      <c r="P480">
        <v>1</v>
      </c>
      <c r="Q480">
        <v>9</v>
      </c>
      <c r="R480" t="s">
        <v>734</v>
      </c>
      <c r="S480" t="s">
        <v>1377</v>
      </c>
      <c r="T480">
        <f>I480*-0.5+M480*0.5</f>
        <v>0.12</v>
      </c>
      <c r="U480">
        <f>I480*0.7+M480*-0.25+D480*-0.25</f>
        <v>0.17324999999999999</v>
      </c>
      <c r="V480">
        <f>J480*0.5+I480*-0.5</f>
        <v>-0.23099999999999998</v>
      </c>
      <c r="W480">
        <f>M480*0.5+G480*0.25+I480*0.25</f>
        <v>0.67299999999999993</v>
      </c>
    </row>
    <row r="481" spans="1:23" x14ac:dyDescent="0.2">
      <c r="A481">
        <v>2.98E-2</v>
      </c>
      <c r="B481">
        <v>0</v>
      </c>
      <c r="C481">
        <v>4</v>
      </c>
      <c r="D481">
        <v>0.128</v>
      </c>
      <c r="E481">
        <v>-3.827</v>
      </c>
      <c r="F481">
        <v>183843</v>
      </c>
      <c r="G481">
        <v>0.63500000000000001</v>
      </c>
      <c r="H481">
        <v>182</v>
      </c>
      <c r="I481">
        <v>0.6</v>
      </c>
      <c r="J481">
        <v>1.17E-2</v>
      </c>
      <c r="K481" t="s">
        <v>909</v>
      </c>
      <c r="L481">
        <v>49</v>
      </c>
      <c r="M481">
        <v>0.84</v>
      </c>
      <c r="N481">
        <v>124.04300000000001</v>
      </c>
      <c r="O481">
        <v>0</v>
      </c>
      <c r="P481">
        <v>1</v>
      </c>
      <c r="Q481">
        <v>20</v>
      </c>
      <c r="R481" t="s">
        <v>910</v>
      </c>
      <c r="S481" t="s">
        <v>911</v>
      </c>
      <c r="T481">
        <f>I481*-0.5+M481*0.5</f>
        <v>0.12</v>
      </c>
      <c r="U481">
        <f>I481*0.7+M481*-0.25+D481*-0.25</f>
        <v>0.17799999999999999</v>
      </c>
      <c r="V481">
        <f>J481*0.5+I481*-0.5</f>
        <v>-0.29414999999999997</v>
      </c>
      <c r="W481">
        <f>M481*0.5+G481*0.25+I481*0.25</f>
        <v>0.72875000000000001</v>
      </c>
    </row>
    <row r="482" spans="1:23" x14ac:dyDescent="0.2">
      <c r="A482">
        <v>8.6699999999999999E-2</v>
      </c>
      <c r="B482">
        <v>2</v>
      </c>
      <c r="C482">
        <v>3</v>
      </c>
      <c r="D482">
        <v>0.104</v>
      </c>
      <c r="E482">
        <v>-3.2879999999999998</v>
      </c>
      <c r="F482">
        <v>330027</v>
      </c>
      <c r="G482">
        <v>0.752</v>
      </c>
      <c r="H482">
        <v>262</v>
      </c>
      <c r="I482">
        <v>0.68500000000000005</v>
      </c>
      <c r="J482">
        <v>1.78E-2</v>
      </c>
      <c r="K482" t="s">
        <v>776</v>
      </c>
      <c r="L482">
        <v>7</v>
      </c>
      <c r="M482">
        <v>0.92500000000000004</v>
      </c>
      <c r="N482">
        <v>113.52800000000001</v>
      </c>
      <c r="O482">
        <v>0.125</v>
      </c>
      <c r="P482">
        <v>1</v>
      </c>
      <c r="Q482">
        <v>2</v>
      </c>
      <c r="R482" t="s">
        <v>777</v>
      </c>
      <c r="S482" t="s">
        <v>778</v>
      </c>
      <c r="T482">
        <f>I482*-0.5+M482*0.5</f>
        <v>0.12</v>
      </c>
      <c r="U482">
        <f>I482*0.7+M482*-0.25+D482*-0.25</f>
        <v>0.22224999999999998</v>
      </c>
      <c r="V482">
        <f>J482*0.5+I482*-0.5</f>
        <v>-0.33360000000000001</v>
      </c>
      <c r="W482">
        <f>M482*0.5+G482*0.25+I482*0.25</f>
        <v>0.82175000000000009</v>
      </c>
    </row>
    <row r="483" spans="1:23" x14ac:dyDescent="0.2">
      <c r="A483">
        <v>3.39E-2</v>
      </c>
      <c r="B483">
        <v>5</v>
      </c>
      <c r="C483">
        <v>4</v>
      </c>
      <c r="D483">
        <v>0.13500000000000001</v>
      </c>
      <c r="E483">
        <v>-4.21</v>
      </c>
      <c r="F483">
        <v>193733</v>
      </c>
      <c r="G483">
        <v>0.54400000000000004</v>
      </c>
      <c r="H483">
        <v>191</v>
      </c>
      <c r="I483">
        <v>0.53500000000000003</v>
      </c>
      <c r="J483">
        <v>6.8199999999999997E-3</v>
      </c>
      <c r="K483" t="s">
        <v>1020</v>
      </c>
      <c r="L483">
        <v>51</v>
      </c>
      <c r="M483">
        <v>0.77400000000000002</v>
      </c>
      <c r="N483">
        <v>174.12100000000001</v>
      </c>
      <c r="O483">
        <v>0</v>
      </c>
      <c r="P483">
        <v>0</v>
      </c>
      <c r="Q483">
        <v>13</v>
      </c>
      <c r="R483" t="s">
        <v>1021</v>
      </c>
      <c r="S483" t="s">
        <v>1022</v>
      </c>
      <c r="T483">
        <f>I483*-0.5+M483*0.5</f>
        <v>0.1195</v>
      </c>
      <c r="U483">
        <f>I483*0.7+M483*-0.25+D483*-0.25</f>
        <v>0.14724999999999999</v>
      </c>
      <c r="V483">
        <f>J483*0.5+I483*-0.5</f>
        <v>-0.26408999999999999</v>
      </c>
      <c r="W483">
        <f>M483*0.5+G483*0.25+I483*0.25</f>
        <v>0.65675000000000006</v>
      </c>
    </row>
    <row r="484" spans="1:23" x14ac:dyDescent="0.2">
      <c r="A484">
        <v>5.5199999999999999E-2</v>
      </c>
      <c r="B484">
        <v>1</v>
      </c>
      <c r="C484">
        <v>4</v>
      </c>
      <c r="D484">
        <v>7.8200000000000006E-2</v>
      </c>
      <c r="E484">
        <v>-5.1079999999999997</v>
      </c>
      <c r="F484">
        <v>162053</v>
      </c>
      <c r="G484">
        <v>0.54400000000000004</v>
      </c>
      <c r="H484">
        <v>159</v>
      </c>
      <c r="I484">
        <v>0.63500000000000001</v>
      </c>
      <c r="J484">
        <v>5.0600000000000003E-3</v>
      </c>
      <c r="K484" t="s">
        <v>821</v>
      </c>
      <c r="L484">
        <v>52</v>
      </c>
      <c r="M484">
        <v>0.874</v>
      </c>
      <c r="N484">
        <v>158.12799999999999</v>
      </c>
      <c r="O484">
        <v>2.2900000000000001E-4</v>
      </c>
      <c r="P484">
        <v>1</v>
      </c>
      <c r="Q484">
        <v>18</v>
      </c>
      <c r="R484" t="s">
        <v>822</v>
      </c>
      <c r="S484" t="s">
        <v>823</v>
      </c>
      <c r="T484">
        <f>I484*-0.5+M484*0.5</f>
        <v>0.1195</v>
      </c>
      <c r="U484">
        <f>I484*0.7+M484*-0.25+D484*-0.25</f>
        <v>0.20644999999999994</v>
      </c>
      <c r="V484">
        <f>J484*0.5+I484*-0.5</f>
        <v>-0.31497000000000003</v>
      </c>
      <c r="W484">
        <f>M484*0.5+G484*0.25+I484*0.25</f>
        <v>0.7317499999999999</v>
      </c>
    </row>
    <row r="485" spans="1:23" x14ac:dyDescent="0.2">
      <c r="A485">
        <v>3.56E-2</v>
      </c>
      <c r="B485">
        <v>5</v>
      </c>
      <c r="C485">
        <v>4</v>
      </c>
      <c r="D485">
        <v>0.28799999999999998</v>
      </c>
      <c r="E485">
        <v>-8.4429999999999996</v>
      </c>
      <c r="F485">
        <v>245063</v>
      </c>
      <c r="G485">
        <v>0.67700000000000005</v>
      </c>
      <c r="H485">
        <v>246</v>
      </c>
      <c r="I485">
        <v>0.184</v>
      </c>
      <c r="J485">
        <v>0.39500000000000002</v>
      </c>
      <c r="K485" t="s">
        <v>2690</v>
      </c>
      <c r="L485">
        <v>13</v>
      </c>
      <c r="M485">
        <v>0.42199999999999999</v>
      </c>
      <c r="N485">
        <v>130.19999999999999</v>
      </c>
      <c r="O485">
        <v>0</v>
      </c>
      <c r="P485">
        <v>0</v>
      </c>
      <c r="Q485">
        <v>8</v>
      </c>
      <c r="R485" t="s">
        <v>2691</v>
      </c>
      <c r="S485" t="s">
        <v>2692</v>
      </c>
      <c r="T485">
        <f>I485*-0.5+M485*0.5</f>
        <v>0.11899999999999999</v>
      </c>
      <c r="U485">
        <f>I485*0.7+M485*-0.25+D485*-0.25</f>
        <v>-4.8699999999999993E-2</v>
      </c>
      <c r="V485">
        <f>J485*0.5+I485*-0.5</f>
        <v>0.10550000000000001</v>
      </c>
      <c r="W485">
        <f>M485*0.5+G485*0.25+I485*0.25</f>
        <v>0.42624999999999996</v>
      </c>
    </row>
    <row r="486" spans="1:23" x14ac:dyDescent="0.2">
      <c r="A486">
        <v>2.87E-2</v>
      </c>
      <c r="B486">
        <v>4</v>
      </c>
      <c r="C486">
        <v>4</v>
      </c>
      <c r="D486">
        <v>8.0500000000000002E-2</v>
      </c>
      <c r="E486">
        <v>-6.7050000000000001</v>
      </c>
      <c r="F486">
        <v>224933</v>
      </c>
      <c r="G486">
        <v>0.57999999999999996</v>
      </c>
      <c r="H486">
        <v>221</v>
      </c>
      <c r="I486">
        <v>0.49099999999999999</v>
      </c>
      <c r="J486">
        <v>1.0200000000000001E-2</v>
      </c>
      <c r="K486" t="s">
        <v>1135</v>
      </c>
      <c r="L486">
        <v>8</v>
      </c>
      <c r="M486">
        <v>0.72899999999999998</v>
      </c>
      <c r="N486">
        <v>80.061000000000007</v>
      </c>
      <c r="O486">
        <v>0</v>
      </c>
      <c r="P486">
        <v>0</v>
      </c>
      <c r="Q486">
        <v>11</v>
      </c>
      <c r="R486" t="s">
        <v>1005</v>
      </c>
      <c r="S486" t="s">
        <v>1136</v>
      </c>
      <c r="T486">
        <f>I486*-0.5+M486*0.5</f>
        <v>0.11899999999999999</v>
      </c>
      <c r="U486">
        <f>I486*0.7+M486*-0.25+D486*-0.25</f>
        <v>0.14132499999999995</v>
      </c>
      <c r="V486">
        <f>J486*0.5+I486*-0.5</f>
        <v>-0.2404</v>
      </c>
      <c r="W486">
        <f>M486*0.5+G486*0.25+I486*0.25</f>
        <v>0.63224999999999998</v>
      </c>
    </row>
    <row r="487" spans="1:23" x14ac:dyDescent="0.2">
      <c r="A487">
        <v>0.157</v>
      </c>
      <c r="B487">
        <v>3</v>
      </c>
      <c r="C487">
        <v>4</v>
      </c>
      <c r="D487">
        <v>0.60499999999999998</v>
      </c>
      <c r="E487">
        <v>-4.2809999999999997</v>
      </c>
      <c r="F487">
        <v>205933</v>
      </c>
      <c r="G487">
        <v>0.55900000000000005</v>
      </c>
      <c r="H487">
        <v>201</v>
      </c>
      <c r="I487">
        <v>0.64400000000000002</v>
      </c>
      <c r="J487">
        <v>3.1399999999999997E-2</v>
      </c>
      <c r="K487" t="s">
        <v>912</v>
      </c>
      <c r="L487">
        <v>44</v>
      </c>
      <c r="M487">
        <v>0.88200000000000001</v>
      </c>
      <c r="N487">
        <v>126.06399999999999</v>
      </c>
      <c r="O487" s="1">
        <v>1.7099999999999999E-5</v>
      </c>
      <c r="P487">
        <v>1</v>
      </c>
      <c r="Q487">
        <v>4</v>
      </c>
      <c r="R487" t="s">
        <v>913</v>
      </c>
      <c r="S487" t="s">
        <v>914</v>
      </c>
      <c r="T487">
        <f>I487*-0.5+M487*0.5</f>
        <v>0.11899999999999999</v>
      </c>
      <c r="U487">
        <f>I487*0.7+M487*-0.25+D487*-0.25</f>
        <v>7.9049999999999981E-2</v>
      </c>
      <c r="V487">
        <f>J487*0.5+I487*-0.5</f>
        <v>-0.30630000000000002</v>
      </c>
      <c r="W487">
        <f>M487*0.5+G487*0.25+I487*0.25</f>
        <v>0.74175000000000002</v>
      </c>
    </row>
    <row r="488" spans="1:23" x14ac:dyDescent="0.2">
      <c r="A488">
        <v>7.5300000000000006E-2</v>
      </c>
      <c r="B488">
        <v>4</v>
      </c>
      <c r="C488">
        <v>4</v>
      </c>
      <c r="D488">
        <v>0.61699999999999999</v>
      </c>
      <c r="E488">
        <v>-2.6080000000000001</v>
      </c>
      <c r="F488">
        <v>211573</v>
      </c>
      <c r="G488">
        <v>0.623</v>
      </c>
      <c r="H488">
        <v>211</v>
      </c>
      <c r="I488">
        <v>0.71799999999999997</v>
      </c>
      <c r="J488">
        <v>0.11899999999999999</v>
      </c>
      <c r="K488" t="s">
        <v>1095</v>
      </c>
      <c r="L488">
        <v>56</v>
      </c>
      <c r="M488">
        <v>0.95599999999999996</v>
      </c>
      <c r="N488">
        <v>149.958</v>
      </c>
      <c r="O488">
        <v>2.2699999999999999E-4</v>
      </c>
      <c r="P488">
        <v>0</v>
      </c>
      <c r="Q488">
        <v>9</v>
      </c>
      <c r="R488" t="s">
        <v>222</v>
      </c>
      <c r="S488" t="s">
        <v>1096</v>
      </c>
      <c r="T488">
        <f>I488*-0.5+M488*0.5</f>
        <v>0.11899999999999999</v>
      </c>
      <c r="U488">
        <f>I488*0.7+M488*-0.25+D488*-0.25</f>
        <v>0.10934999999999995</v>
      </c>
      <c r="V488">
        <f>J488*0.5+I488*-0.5</f>
        <v>-0.29949999999999999</v>
      </c>
      <c r="W488">
        <f>M488*0.5+G488*0.25+I488*0.25</f>
        <v>0.81325000000000003</v>
      </c>
    </row>
    <row r="489" spans="1:23" x14ac:dyDescent="0.2">
      <c r="A489">
        <v>4.1500000000000002E-2</v>
      </c>
      <c r="B489">
        <v>8</v>
      </c>
      <c r="C489">
        <v>4</v>
      </c>
      <c r="D489">
        <v>0.104</v>
      </c>
      <c r="E489">
        <v>-5.3280000000000003</v>
      </c>
      <c r="F489">
        <v>224067</v>
      </c>
      <c r="G489">
        <v>0.61599999999999999</v>
      </c>
      <c r="H489">
        <v>219</v>
      </c>
      <c r="I489">
        <v>0.36099999999999999</v>
      </c>
      <c r="J489">
        <v>0.68600000000000005</v>
      </c>
      <c r="K489" t="s">
        <v>2962</v>
      </c>
      <c r="L489">
        <v>10</v>
      </c>
      <c r="M489">
        <v>0.59699999999999998</v>
      </c>
      <c r="N489">
        <v>165.50800000000001</v>
      </c>
      <c r="O489">
        <v>0</v>
      </c>
      <c r="P489">
        <v>1</v>
      </c>
      <c r="Q489">
        <v>14</v>
      </c>
      <c r="R489" t="s">
        <v>1138</v>
      </c>
      <c r="S489" t="s">
        <v>2963</v>
      </c>
      <c r="T489">
        <f>I489*-0.5+M489*0.5</f>
        <v>0.11799999999999999</v>
      </c>
      <c r="U489">
        <f>I489*0.7+M489*-0.25+D489*-0.25</f>
        <v>7.7449999999999991E-2</v>
      </c>
      <c r="V489">
        <f>J489*0.5+I489*-0.5</f>
        <v>0.16250000000000003</v>
      </c>
      <c r="W489">
        <f>M489*0.5+G489*0.25+I489*0.25</f>
        <v>0.54275000000000007</v>
      </c>
    </row>
    <row r="490" spans="1:23" x14ac:dyDescent="0.2">
      <c r="A490">
        <v>0.219</v>
      </c>
      <c r="B490">
        <v>11</v>
      </c>
      <c r="C490">
        <v>4</v>
      </c>
      <c r="D490">
        <v>0.16400000000000001</v>
      </c>
      <c r="E490">
        <v>-3.7989999999999999</v>
      </c>
      <c r="F490">
        <v>326280</v>
      </c>
      <c r="G490">
        <v>0.79500000000000004</v>
      </c>
      <c r="H490">
        <v>267</v>
      </c>
      <c r="I490">
        <v>0.36099999999999999</v>
      </c>
      <c r="J490">
        <v>0.10299999999999999</v>
      </c>
      <c r="K490" t="s">
        <v>1795</v>
      </c>
      <c r="L490">
        <v>46</v>
      </c>
      <c r="M490">
        <v>0.59599999999999997</v>
      </c>
      <c r="N490">
        <v>101.985</v>
      </c>
      <c r="O490">
        <v>0</v>
      </c>
      <c r="P490">
        <v>0</v>
      </c>
      <c r="Q490">
        <v>2</v>
      </c>
      <c r="R490" t="s">
        <v>1796</v>
      </c>
      <c r="S490" t="s">
        <v>1797</v>
      </c>
      <c r="T490">
        <f>I490*-0.5+M490*0.5</f>
        <v>0.11749999999999999</v>
      </c>
      <c r="U490">
        <f>I490*0.7+M490*-0.25+D490*-0.25</f>
        <v>6.2699999999999978E-2</v>
      </c>
      <c r="V490">
        <f>J490*0.5+I490*-0.5</f>
        <v>-0.129</v>
      </c>
      <c r="W490">
        <f>M490*0.5+G490*0.25+I490*0.25</f>
        <v>0.58699999999999997</v>
      </c>
    </row>
    <row r="491" spans="1:23" x14ac:dyDescent="0.2">
      <c r="A491">
        <v>5.6500000000000002E-2</v>
      </c>
      <c r="B491">
        <v>10</v>
      </c>
      <c r="C491">
        <v>4</v>
      </c>
      <c r="D491">
        <v>0.123</v>
      </c>
      <c r="E491">
        <v>-4.343</v>
      </c>
      <c r="F491">
        <v>202533</v>
      </c>
      <c r="G491">
        <v>0.42099999999999999</v>
      </c>
      <c r="H491">
        <v>200</v>
      </c>
      <c r="I491">
        <v>0.63900000000000001</v>
      </c>
      <c r="J491">
        <v>6.5299999999999997E-2</v>
      </c>
      <c r="K491" t="s">
        <v>1060</v>
      </c>
      <c r="L491">
        <v>45</v>
      </c>
      <c r="M491">
        <v>0.873</v>
      </c>
      <c r="N491">
        <v>84.802999999999997</v>
      </c>
      <c r="O491">
        <v>0</v>
      </c>
      <c r="P491">
        <v>1</v>
      </c>
      <c r="Q491">
        <v>7</v>
      </c>
      <c r="R491" t="s">
        <v>1061</v>
      </c>
      <c r="S491" t="s">
        <v>1062</v>
      </c>
      <c r="T491">
        <f>I491*-0.5+M491*0.5</f>
        <v>0.11699999999999999</v>
      </c>
      <c r="U491">
        <f>I491*0.7+M491*-0.25+D491*-0.25</f>
        <v>0.19829999999999998</v>
      </c>
      <c r="V491">
        <f>J491*0.5+I491*-0.5</f>
        <v>-0.28684999999999999</v>
      </c>
      <c r="W491">
        <f>M491*0.5+G491*0.25+I491*0.25</f>
        <v>0.70150000000000001</v>
      </c>
    </row>
    <row r="492" spans="1:23" x14ac:dyDescent="0.2">
      <c r="A492">
        <v>3.8899999999999997E-2</v>
      </c>
      <c r="B492">
        <v>7</v>
      </c>
      <c r="C492">
        <v>4</v>
      </c>
      <c r="D492">
        <v>0.34599999999999997</v>
      </c>
      <c r="E492">
        <v>-7.6970000000000001</v>
      </c>
      <c r="F492">
        <v>273493</v>
      </c>
      <c r="G492">
        <v>0.50700000000000001</v>
      </c>
      <c r="H492">
        <v>252</v>
      </c>
      <c r="I492">
        <v>0.64100000000000001</v>
      </c>
      <c r="J492">
        <v>2.5699999999999998E-3</v>
      </c>
      <c r="K492" t="s">
        <v>831</v>
      </c>
      <c r="L492">
        <v>35</v>
      </c>
      <c r="M492">
        <v>0.875</v>
      </c>
      <c r="N492">
        <v>160.07900000000001</v>
      </c>
      <c r="O492">
        <v>0</v>
      </c>
      <c r="P492">
        <v>1</v>
      </c>
      <c r="Q492">
        <v>12</v>
      </c>
      <c r="R492" t="s">
        <v>38</v>
      </c>
      <c r="S492" t="s">
        <v>832</v>
      </c>
      <c r="T492">
        <f>I492*-0.5+M492*0.5</f>
        <v>0.11699999999999999</v>
      </c>
      <c r="U492">
        <f>I492*0.7+M492*-0.25+D492*-0.25</f>
        <v>0.14344999999999999</v>
      </c>
      <c r="V492">
        <f>J492*0.5+I492*-0.5</f>
        <v>-0.31921500000000003</v>
      </c>
      <c r="W492">
        <f>M492*0.5+G492*0.25+I492*0.25</f>
        <v>0.72450000000000003</v>
      </c>
    </row>
    <row r="493" spans="1:23" x14ac:dyDescent="0.2">
      <c r="A493">
        <v>3.9100000000000003E-2</v>
      </c>
      <c r="B493">
        <v>1</v>
      </c>
      <c r="C493">
        <v>4</v>
      </c>
      <c r="D493">
        <v>0.24099999999999999</v>
      </c>
      <c r="E493">
        <v>-6.3659999999999997</v>
      </c>
      <c r="F493">
        <v>263773</v>
      </c>
      <c r="G493">
        <v>0.76</v>
      </c>
      <c r="H493">
        <v>262</v>
      </c>
      <c r="I493">
        <v>0.36199999999999999</v>
      </c>
      <c r="J493">
        <v>5.4400000000000004E-3</v>
      </c>
      <c r="K493" t="s">
        <v>1416</v>
      </c>
      <c r="L493">
        <v>37</v>
      </c>
      <c r="M493">
        <v>0.59499999999999997</v>
      </c>
      <c r="N493">
        <v>131.49700000000001</v>
      </c>
      <c r="O493">
        <v>0</v>
      </c>
      <c r="P493">
        <v>1</v>
      </c>
      <c r="Q493">
        <v>12</v>
      </c>
      <c r="R493" t="s">
        <v>1417</v>
      </c>
      <c r="S493" t="s">
        <v>1418</v>
      </c>
      <c r="T493">
        <f>I493*-0.5+M493*0.5</f>
        <v>0.11649999999999999</v>
      </c>
      <c r="U493">
        <f>I493*0.7+M493*-0.25+D493*-0.25</f>
        <v>4.4399999999999967E-2</v>
      </c>
      <c r="V493">
        <f>J493*0.5+I493*-0.5</f>
        <v>-0.17827999999999999</v>
      </c>
      <c r="W493">
        <f>M493*0.5+G493*0.25+I493*0.25</f>
        <v>0.57799999999999996</v>
      </c>
    </row>
    <row r="494" spans="1:23" x14ac:dyDescent="0.2">
      <c r="A494">
        <v>4.1399999999999999E-2</v>
      </c>
      <c r="B494">
        <v>0</v>
      </c>
      <c r="C494">
        <v>4</v>
      </c>
      <c r="D494">
        <v>7.5499999999999998E-2</v>
      </c>
      <c r="E494">
        <v>-5.0919999999999996</v>
      </c>
      <c r="F494">
        <v>260333</v>
      </c>
      <c r="G494">
        <v>0.59299999999999997</v>
      </c>
      <c r="H494">
        <v>255</v>
      </c>
      <c r="I494">
        <v>0.51100000000000001</v>
      </c>
      <c r="J494">
        <v>6.2799999999999998E-4</v>
      </c>
      <c r="K494" t="s">
        <v>1075</v>
      </c>
      <c r="L494">
        <v>35</v>
      </c>
      <c r="M494">
        <v>0.74399999999999999</v>
      </c>
      <c r="N494">
        <v>115.983</v>
      </c>
      <c r="O494">
        <v>0</v>
      </c>
      <c r="P494">
        <v>1</v>
      </c>
      <c r="Q494">
        <v>18</v>
      </c>
      <c r="R494" t="s">
        <v>1076</v>
      </c>
      <c r="S494" t="s">
        <v>1077</v>
      </c>
      <c r="T494">
        <f>I494*-0.5+M494*0.5</f>
        <v>0.11649999999999999</v>
      </c>
      <c r="U494">
        <f>I494*0.7+M494*-0.25+D494*-0.25</f>
        <v>0.15282499999999996</v>
      </c>
      <c r="V494">
        <f>J494*0.5+I494*-0.5</f>
        <v>-0.25518600000000002</v>
      </c>
      <c r="W494">
        <f>M494*0.5+G494*0.25+I494*0.25</f>
        <v>0.64800000000000002</v>
      </c>
    </row>
    <row r="495" spans="1:23" x14ac:dyDescent="0.2">
      <c r="A495">
        <v>2.9399999999999999E-2</v>
      </c>
      <c r="B495">
        <v>8</v>
      </c>
      <c r="C495">
        <v>4</v>
      </c>
      <c r="D495">
        <v>5.2699999999999997E-2</v>
      </c>
      <c r="E495">
        <v>-5.1189999999999998</v>
      </c>
      <c r="F495">
        <v>228293</v>
      </c>
      <c r="G495">
        <v>0.72899999999999998</v>
      </c>
      <c r="H495">
        <v>226</v>
      </c>
      <c r="I495">
        <v>0.52300000000000002</v>
      </c>
      <c r="J495">
        <v>0.13100000000000001</v>
      </c>
      <c r="K495" t="s">
        <v>1594</v>
      </c>
      <c r="L495">
        <v>38</v>
      </c>
      <c r="M495">
        <v>0.75600000000000001</v>
      </c>
      <c r="N495">
        <v>104.94499999999999</v>
      </c>
      <c r="O495">
        <v>0</v>
      </c>
      <c r="P495">
        <v>1</v>
      </c>
      <c r="Q495">
        <v>14</v>
      </c>
      <c r="R495" t="s">
        <v>1595</v>
      </c>
      <c r="S495" t="s">
        <v>1596</v>
      </c>
      <c r="T495">
        <f>I495*-0.5+M495*0.5</f>
        <v>0.11649999999999999</v>
      </c>
      <c r="U495">
        <f>I495*0.7+M495*-0.25+D495*-0.25</f>
        <v>0.16392499999999999</v>
      </c>
      <c r="V495">
        <f>J495*0.5+I495*-0.5</f>
        <v>-0.19600000000000001</v>
      </c>
      <c r="W495">
        <f>M495*0.5+G495*0.25+I495*0.25</f>
        <v>0.69100000000000006</v>
      </c>
    </row>
    <row r="496" spans="1:23" x14ac:dyDescent="0.2">
      <c r="A496">
        <v>4.8899999999999999E-2</v>
      </c>
      <c r="B496">
        <v>11</v>
      </c>
      <c r="C496">
        <v>4</v>
      </c>
      <c r="D496">
        <v>5.9299999999999999E-2</v>
      </c>
      <c r="E496">
        <v>-4.7320000000000002</v>
      </c>
      <c r="F496">
        <v>227320</v>
      </c>
      <c r="G496">
        <v>0.44</v>
      </c>
      <c r="H496">
        <v>224</v>
      </c>
      <c r="I496">
        <v>0.45100000000000001</v>
      </c>
      <c r="J496">
        <v>7.0600000000000003E-3</v>
      </c>
      <c r="K496" t="s">
        <v>1225</v>
      </c>
      <c r="L496">
        <v>33</v>
      </c>
      <c r="M496">
        <v>0.68300000000000005</v>
      </c>
      <c r="N496">
        <v>185.94800000000001</v>
      </c>
      <c r="O496">
        <v>0</v>
      </c>
      <c r="P496">
        <v>0</v>
      </c>
      <c r="Q496">
        <v>13</v>
      </c>
      <c r="R496" t="s">
        <v>1213</v>
      </c>
      <c r="S496" t="s">
        <v>1226</v>
      </c>
      <c r="T496">
        <f>I496*-0.5+M496*0.5</f>
        <v>0.11600000000000002</v>
      </c>
      <c r="U496">
        <f>I496*0.7+M496*-0.25+D496*-0.25</f>
        <v>0.13012499999999996</v>
      </c>
      <c r="V496">
        <f>J496*0.5+I496*-0.5</f>
        <v>-0.22197</v>
      </c>
      <c r="W496">
        <f>M496*0.5+G496*0.25+I496*0.25</f>
        <v>0.56425000000000003</v>
      </c>
    </row>
    <row r="497" spans="1:23" x14ac:dyDescent="0.2">
      <c r="A497">
        <v>5.3199999999999997E-2</v>
      </c>
      <c r="B497">
        <v>4</v>
      </c>
      <c r="C497">
        <v>4</v>
      </c>
      <c r="D497">
        <v>0.215</v>
      </c>
      <c r="E497">
        <v>-6.3010000000000002</v>
      </c>
      <c r="F497">
        <v>180159</v>
      </c>
      <c r="G497">
        <v>0.63</v>
      </c>
      <c r="H497">
        <v>175</v>
      </c>
      <c r="I497">
        <v>0.52100000000000002</v>
      </c>
      <c r="J497">
        <v>7.6999999999999999E-2</v>
      </c>
      <c r="K497" t="s">
        <v>1359</v>
      </c>
      <c r="L497">
        <v>51</v>
      </c>
      <c r="M497">
        <v>0.753</v>
      </c>
      <c r="N497">
        <v>91.972999999999999</v>
      </c>
      <c r="O497">
        <v>0</v>
      </c>
      <c r="P497">
        <v>1</v>
      </c>
      <c r="Q497">
        <v>20</v>
      </c>
      <c r="R497" t="s">
        <v>1360</v>
      </c>
      <c r="S497" t="s">
        <v>1361</v>
      </c>
      <c r="T497">
        <f>I497*-0.5+M497*0.5</f>
        <v>0.11599999999999999</v>
      </c>
      <c r="U497">
        <f>I497*0.7+M497*-0.25+D497*-0.25</f>
        <v>0.12269999999999998</v>
      </c>
      <c r="V497">
        <f>J497*0.5+I497*-0.5</f>
        <v>-0.222</v>
      </c>
      <c r="W497">
        <f>M497*0.5+G497*0.25+I497*0.25</f>
        <v>0.66425000000000001</v>
      </c>
    </row>
    <row r="498" spans="1:23" x14ac:dyDescent="0.2">
      <c r="A498">
        <v>3.9899999999999998E-2</v>
      </c>
      <c r="B498">
        <v>2</v>
      </c>
      <c r="C498">
        <v>4</v>
      </c>
      <c r="D498">
        <v>0.10100000000000001</v>
      </c>
      <c r="E498">
        <v>-5.0359999999999996</v>
      </c>
      <c r="F498">
        <v>233467</v>
      </c>
      <c r="G498">
        <v>0.56599999999999995</v>
      </c>
      <c r="H498">
        <v>230</v>
      </c>
      <c r="I498">
        <v>0.53400000000000003</v>
      </c>
      <c r="J498">
        <v>0.43099999999999999</v>
      </c>
      <c r="K498" t="s">
        <v>2429</v>
      </c>
      <c r="L498">
        <v>27</v>
      </c>
      <c r="M498">
        <v>0.76600000000000001</v>
      </c>
      <c r="N498">
        <v>168.005</v>
      </c>
      <c r="O498">
        <v>0</v>
      </c>
      <c r="P498">
        <v>1</v>
      </c>
      <c r="Q498">
        <v>6</v>
      </c>
      <c r="R498" t="s">
        <v>1243</v>
      </c>
      <c r="S498" t="s">
        <v>2430</v>
      </c>
      <c r="T498">
        <f>I498*-0.5+M498*0.5</f>
        <v>0.11599999999999999</v>
      </c>
      <c r="U498">
        <f>I498*0.7+M498*-0.25+D498*-0.25</f>
        <v>0.15705000000000002</v>
      </c>
      <c r="V498">
        <f>J498*0.5+I498*-0.5</f>
        <v>-5.1500000000000018E-2</v>
      </c>
      <c r="W498">
        <f>M498*0.5+G498*0.25+I498*0.25</f>
        <v>0.65799999999999992</v>
      </c>
    </row>
    <row r="499" spans="1:23" x14ac:dyDescent="0.2">
      <c r="A499">
        <v>9.7600000000000006E-2</v>
      </c>
      <c r="B499">
        <v>4</v>
      </c>
      <c r="C499">
        <v>4</v>
      </c>
      <c r="D499">
        <v>6.6299999999999998E-2</v>
      </c>
      <c r="E499">
        <v>-4.8739999999999997</v>
      </c>
      <c r="F499">
        <v>206227</v>
      </c>
      <c r="G499">
        <v>0.48</v>
      </c>
      <c r="H499">
        <v>205</v>
      </c>
      <c r="I499">
        <v>0.70199999999999996</v>
      </c>
      <c r="J499">
        <v>0.20100000000000001</v>
      </c>
      <c r="K499" t="s">
        <v>1519</v>
      </c>
      <c r="L499">
        <v>23</v>
      </c>
      <c r="M499">
        <v>0.93300000000000005</v>
      </c>
      <c r="N499">
        <v>167.976</v>
      </c>
      <c r="O499">
        <v>0</v>
      </c>
      <c r="P499">
        <v>1</v>
      </c>
      <c r="Q499">
        <v>20</v>
      </c>
      <c r="R499" t="s">
        <v>1520</v>
      </c>
      <c r="S499" t="s">
        <v>1521</v>
      </c>
      <c r="T499">
        <f>I499*-0.5+M499*0.5</f>
        <v>0.11550000000000005</v>
      </c>
      <c r="U499">
        <f>I499*0.7+M499*-0.25+D499*-0.25</f>
        <v>0.24157499999999993</v>
      </c>
      <c r="V499">
        <f>J499*0.5+I499*-0.5</f>
        <v>-0.25049999999999994</v>
      </c>
      <c r="W499">
        <f>M499*0.5+G499*0.25+I499*0.25</f>
        <v>0.76200000000000001</v>
      </c>
    </row>
    <row r="500" spans="1:23" x14ac:dyDescent="0.2">
      <c r="A500">
        <v>0.10299999999999999</v>
      </c>
      <c r="B500">
        <v>7</v>
      </c>
      <c r="C500">
        <v>4</v>
      </c>
      <c r="D500">
        <v>0.13900000000000001</v>
      </c>
      <c r="E500">
        <v>-5.4260000000000002</v>
      </c>
      <c r="F500">
        <v>289747</v>
      </c>
      <c r="G500">
        <v>0.67300000000000004</v>
      </c>
      <c r="H500">
        <v>261</v>
      </c>
      <c r="I500">
        <v>0.38300000000000001</v>
      </c>
      <c r="J500">
        <v>7.8200000000000006E-2</v>
      </c>
      <c r="K500" t="s">
        <v>1696</v>
      </c>
      <c r="L500">
        <v>31</v>
      </c>
      <c r="M500">
        <v>0.61399999999999999</v>
      </c>
      <c r="N500">
        <v>176.05199999999999</v>
      </c>
      <c r="O500">
        <v>0</v>
      </c>
      <c r="P500">
        <v>1</v>
      </c>
      <c r="Q500">
        <v>5</v>
      </c>
      <c r="R500" t="s">
        <v>1697</v>
      </c>
      <c r="S500" t="s">
        <v>1698</v>
      </c>
      <c r="T500">
        <f>I500*-0.5+M500*0.5</f>
        <v>0.11549999999999999</v>
      </c>
      <c r="U500">
        <f>I500*0.7+M500*-0.25+D500*-0.25</f>
        <v>7.9850000000000004E-2</v>
      </c>
      <c r="V500">
        <f>J500*0.5+I500*-0.5</f>
        <v>-0.15240000000000001</v>
      </c>
      <c r="W500">
        <f>M500*0.5+G500*0.25+I500*0.25</f>
        <v>0.57099999999999995</v>
      </c>
    </row>
    <row r="501" spans="1:23" x14ac:dyDescent="0.2">
      <c r="A501">
        <v>7.9200000000000007E-2</v>
      </c>
      <c r="B501">
        <v>4</v>
      </c>
      <c r="C501">
        <v>4</v>
      </c>
      <c r="D501">
        <v>0.17599999999999999</v>
      </c>
      <c r="E501">
        <v>-6.4379999999999997</v>
      </c>
      <c r="F501">
        <v>234360</v>
      </c>
      <c r="G501">
        <v>0.72399999999999998</v>
      </c>
      <c r="H501">
        <v>234</v>
      </c>
      <c r="I501">
        <v>0.53700000000000003</v>
      </c>
      <c r="J501">
        <v>2.6800000000000001E-2</v>
      </c>
      <c r="K501" t="s">
        <v>1147</v>
      </c>
      <c r="L501">
        <v>29</v>
      </c>
      <c r="M501">
        <v>0.76800000000000002</v>
      </c>
      <c r="N501">
        <v>125.998</v>
      </c>
      <c r="O501" s="1">
        <v>2.44E-5</v>
      </c>
      <c r="P501">
        <v>0</v>
      </c>
      <c r="Q501">
        <v>5</v>
      </c>
      <c r="R501" t="s">
        <v>1148</v>
      </c>
      <c r="S501" t="s">
        <v>1149</v>
      </c>
      <c r="T501">
        <f>I501*-0.5+M501*0.5</f>
        <v>0.11549999999999999</v>
      </c>
      <c r="U501">
        <f>I501*0.7+M501*-0.25+D501*-0.25</f>
        <v>0.13990000000000002</v>
      </c>
      <c r="V501">
        <f>J501*0.5+I501*-0.5</f>
        <v>-0.25509999999999999</v>
      </c>
      <c r="W501">
        <f>M501*0.5+G501*0.25+I501*0.25</f>
        <v>0.69924999999999993</v>
      </c>
    </row>
    <row r="502" spans="1:23" x14ac:dyDescent="0.2">
      <c r="A502">
        <v>6.6500000000000004E-2</v>
      </c>
      <c r="B502">
        <v>8</v>
      </c>
      <c r="C502">
        <v>4</v>
      </c>
      <c r="D502">
        <v>0.20200000000000001</v>
      </c>
      <c r="E502">
        <v>-5.7469999999999999</v>
      </c>
      <c r="F502">
        <v>237947</v>
      </c>
      <c r="G502">
        <v>0.69299999999999995</v>
      </c>
      <c r="H502">
        <v>234</v>
      </c>
      <c r="I502">
        <v>0.47499999999999998</v>
      </c>
      <c r="J502">
        <v>2.2800000000000001E-2</v>
      </c>
      <c r="K502" t="s">
        <v>1255</v>
      </c>
      <c r="L502">
        <v>39</v>
      </c>
      <c r="M502">
        <v>0.70499999999999996</v>
      </c>
      <c r="N502">
        <v>131.95099999999999</v>
      </c>
      <c r="O502">
        <v>0</v>
      </c>
      <c r="P502">
        <v>1</v>
      </c>
      <c r="Q502">
        <v>5</v>
      </c>
      <c r="R502" t="s">
        <v>623</v>
      </c>
      <c r="S502" t="s">
        <v>1256</v>
      </c>
      <c r="T502">
        <f>I502*-0.5+M502*0.5</f>
        <v>0.11499999999999999</v>
      </c>
      <c r="U502">
        <f>I502*0.7+M502*-0.25+D502*-0.25</f>
        <v>0.10574999999999997</v>
      </c>
      <c r="V502">
        <f>J502*0.5+I502*-0.5</f>
        <v>-0.2261</v>
      </c>
      <c r="W502">
        <f>M502*0.5+G502*0.25+I502*0.25</f>
        <v>0.64449999999999996</v>
      </c>
    </row>
    <row r="503" spans="1:23" x14ac:dyDescent="0.2">
      <c r="A503">
        <v>3.0099999999999998E-2</v>
      </c>
      <c r="B503">
        <v>2</v>
      </c>
      <c r="C503">
        <v>4</v>
      </c>
      <c r="D503">
        <v>0.188</v>
      </c>
      <c r="E503">
        <v>-3.1419999999999999</v>
      </c>
      <c r="F503">
        <v>258827</v>
      </c>
      <c r="G503">
        <v>0.58299999999999996</v>
      </c>
      <c r="H503">
        <v>256</v>
      </c>
      <c r="I503">
        <v>0.55600000000000005</v>
      </c>
      <c r="J503">
        <v>2.0799999999999999E-2</v>
      </c>
      <c r="K503" t="s">
        <v>1089</v>
      </c>
      <c r="L503">
        <v>27</v>
      </c>
      <c r="M503">
        <v>0.78600000000000003</v>
      </c>
      <c r="N503">
        <v>123.05200000000001</v>
      </c>
      <c r="O503">
        <v>0</v>
      </c>
      <c r="P503">
        <v>0</v>
      </c>
      <c r="Q503">
        <v>13</v>
      </c>
      <c r="R503" t="s">
        <v>1090</v>
      </c>
      <c r="S503" t="s">
        <v>1091</v>
      </c>
      <c r="T503">
        <f>I503*-0.5+M503*0.5</f>
        <v>0.11499999999999999</v>
      </c>
      <c r="U503">
        <f>I503*0.7+M503*-0.25+D503*-0.25</f>
        <v>0.1457</v>
      </c>
      <c r="V503">
        <f>J503*0.5+I503*-0.5</f>
        <v>-0.2676</v>
      </c>
      <c r="W503">
        <f>M503*0.5+G503*0.25+I503*0.25</f>
        <v>0.67775000000000007</v>
      </c>
    </row>
    <row r="504" spans="1:23" x14ac:dyDescent="0.2">
      <c r="A504">
        <v>7.0900000000000005E-2</v>
      </c>
      <c r="B504">
        <v>9</v>
      </c>
      <c r="C504">
        <v>4</v>
      </c>
      <c r="D504">
        <v>0.26100000000000001</v>
      </c>
      <c r="E504">
        <v>-6.1619999999999999</v>
      </c>
      <c r="F504">
        <v>249533</v>
      </c>
      <c r="G504">
        <v>0.68</v>
      </c>
      <c r="H504">
        <v>219</v>
      </c>
      <c r="I504">
        <v>0.45800000000000002</v>
      </c>
      <c r="J504">
        <v>1.61E-2</v>
      </c>
      <c r="K504" t="s">
        <v>1264</v>
      </c>
      <c r="L504">
        <v>29</v>
      </c>
      <c r="M504">
        <v>0.68700000000000006</v>
      </c>
      <c r="N504">
        <v>150.053</v>
      </c>
      <c r="O504">
        <v>0</v>
      </c>
      <c r="P504">
        <v>0</v>
      </c>
      <c r="Q504">
        <v>8</v>
      </c>
      <c r="R504" t="s">
        <v>1265</v>
      </c>
      <c r="S504" t="s">
        <v>1266</v>
      </c>
      <c r="T504">
        <f>I504*-0.5+M504*0.5</f>
        <v>0.11450000000000002</v>
      </c>
      <c r="U504">
        <f>I504*0.7+M504*-0.25+D504*-0.25</f>
        <v>8.359999999999998E-2</v>
      </c>
      <c r="V504">
        <f>J504*0.5+I504*-0.5</f>
        <v>-0.22095000000000001</v>
      </c>
      <c r="W504">
        <f>M504*0.5+G504*0.25+I504*0.25</f>
        <v>0.62800000000000011</v>
      </c>
    </row>
    <row r="505" spans="1:23" x14ac:dyDescent="0.2">
      <c r="A505">
        <v>2.9700000000000001E-2</v>
      </c>
      <c r="B505">
        <v>9</v>
      </c>
      <c r="C505">
        <v>4</v>
      </c>
      <c r="D505">
        <v>0.126</v>
      </c>
      <c r="E505">
        <v>-7.7389999999999999</v>
      </c>
      <c r="F505">
        <v>232600</v>
      </c>
      <c r="G505">
        <v>0.69</v>
      </c>
      <c r="H505">
        <v>229</v>
      </c>
      <c r="I505">
        <v>0.17799999999999999</v>
      </c>
      <c r="J505">
        <v>0.71099999999999997</v>
      </c>
      <c r="K505" t="s">
        <v>3029</v>
      </c>
      <c r="L505">
        <v>61</v>
      </c>
      <c r="M505">
        <v>0.40699999999999997</v>
      </c>
      <c r="N505">
        <v>111.916</v>
      </c>
      <c r="O505">
        <v>0</v>
      </c>
      <c r="P505">
        <v>1</v>
      </c>
      <c r="Q505">
        <v>15</v>
      </c>
      <c r="R505" t="s">
        <v>3030</v>
      </c>
      <c r="S505" t="s">
        <v>3031</v>
      </c>
      <c r="T505">
        <f>I505*-0.5+M505*0.5</f>
        <v>0.11449999999999999</v>
      </c>
      <c r="U505">
        <f>I505*0.7+M505*-0.25+D505*-0.25</f>
        <v>-8.6500000000000049E-3</v>
      </c>
      <c r="V505">
        <f>J505*0.5+I505*-0.5</f>
        <v>0.26649999999999996</v>
      </c>
      <c r="W505">
        <f>M505*0.5+G505*0.25+I505*0.25</f>
        <v>0.42049999999999998</v>
      </c>
    </row>
    <row r="506" spans="1:23" x14ac:dyDescent="0.2">
      <c r="A506">
        <v>0.51700000000000002</v>
      </c>
      <c r="B506">
        <v>1</v>
      </c>
      <c r="C506">
        <v>5</v>
      </c>
      <c r="D506">
        <v>0.106</v>
      </c>
      <c r="E506">
        <v>-3.359</v>
      </c>
      <c r="F506">
        <v>247427</v>
      </c>
      <c r="G506">
        <v>0.69799999999999995</v>
      </c>
      <c r="H506">
        <v>247</v>
      </c>
      <c r="I506">
        <v>0.69399999999999995</v>
      </c>
      <c r="J506">
        <v>0.129</v>
      </c>
      <c r="K506" t="s">
        <v>1247</v>
      </c>
      <c r="L506">
        <v>17</v>
      </c>
      <c r="M506">
        <v>0.92200000000000004</v>
      </c>
      <c r="N506">
        <v>126.59399999999999</v>
      </c>
      <c r="O506">
        <v>0</v>
      </c>
      <c r="P506">
        <v>1</v>
      </c>
      <c r="Q506">
        <v>2</v>
      </c>
      <c r="R506" t="s">
        <v>1248</v>
      </c>
      <c r="S506" t="s">
        <v>1249</v>
      </c>
      <c r="T506">
        <f>I506*-0.5+M506*0.5</f>
        <v>0.11400000000000005</v>
      </c>
      <c r="U506">
        <f>I506*0.7+M506*-0.25+D506*-0.25</f>
        <v>0.22879999999999998</v>
      </c>
      <c r="V506">
        <f>J506*0.5+I506*-0.5</f>
        <v>-0.28249999999999997</v>
      </c>
      <c r="W506">
        <f>M506*0.5+G506*0.25+I506*0.25</f>
        <v>0.80899999999999994</v>
      </c>
    </row>
    <row r="507" spans="1:23" x14ac:dyDescent="0.2">
      <c r="A507">
        <v>9.8100000000000007E-2</v>
      </c>
      <c r="B507">
        <v>11</v>
      </c>
      <c r="C507">
        <v>4</v>
      </c>
      <c r="D507">
        <v>9.4899999999999998E-2</v>
      </c>
      <c r="E507">
        <v>-6.2990000000000004</v>
      </c>
      <c r="F507">
        <v>230907</v>
      </c>
      <c r="G507">
        <v>0.76300000000000001</v>
      </c>
      <c r="H507">
        <v>227</v>
      </c>
      <c r="I507">
        <v>0.45100000000000001</v>
      </c>
      <c r="J507">
        <v>9.0499999999999997E-2</v>
      </c>
      <c r="K507" t="s">
        <v>1617</v>
      </c>
      <c r="L507">
        <v>39</v>
      </c>
      <c r="M507">
        <v>0.67900000000000005</v>
      </c>
      <c r="N507">
        <v>129.99700000000001</v>
      </c>
      <c r="O507">
        <v>5.53E-4</v>
      </c>
      <c r="P507">
        <v>1</v>
      </c>
      <c r="Q507">
        <v>6</v>
      </c>
      <c r="R507" t="s">
        <v>1618</v>
      </c>
      <c r="S507" t="s">
        <v>1619</v>
      </c>
      <c r="T507">
        <f>I507*-0.5+M507*0.5</f>
        <v>0.11400000000000002</v>
      </c>
      <c r="U507">
        <f>I507*0.7+M507*-0.25+D507*-0.25</f>
        <v>0.12222499999999997</v>
      </c>
      <c r="V507">
        <f>J507*0.5+I507*-0.5</f>
        <v>-0.18025000000000002</v>
      </c>
      <c r="W507">
        <f>M507*0.5+G507*0.25+I507*0.25</f>
        <v>0.64300000000000002</v>
      </c>
    </row>
    <row r="508" spans="1:23" x14ac:dyDescent="0.2">
      <c r="A508">
        <v>4.2500000000000003E-2</v>
      </c>
      <c r="B508">
        <v>0</v>
      </c>
      <c r="C508">
        <v>4</v>
      </c>
      <c r="D508">
        <v>0.223</v>
      </c>
      <c r="E508">
        <v>-2.8420000000000001</v>
      </c>
      <c r="F508">
        <v>184933</v>
      </c>
      <c r="G508">
        <v>0.441</v>
      </c>
      <c r="H508">
        <v>184</v>
      </c>
      <c r="I508">
        <v>0.629</v>
      </c>
      <c r="J508">
        <v>0.13500000000000001</v>
      </c>
      <c r="K508" t="s">
        <v>1411</v>
      </c>
      <c r="L508">
        <v>32</v>
      </c>
      <c r="M508">
        <v>0.85699999999999998</v>
      </c>
      <c r="N508">
        <v>150.03</v>
      </c>
      <c r="O508">
        <v>0</v>
      </c>
      <c r="P508">
        <v>1</v>
      </c>
      <c r="Q508">
        <v>21</v>
      </c>
      <c r="R508" t="s">
        <v>1412</v>
      </c>
      <c r="S508" t="s">
        <v>1413</v>
      </c>
      <c r="T508">
        <f>I508*-0.5+M508*0.5</f>
        <v>0.11399999999999999</v>
      </c>
      <c r="U508">
        <f>I508*0.7+M508*-0.25+D508*-0.25</f>
        <v>0.17029999999999998</v>
      </c>
      <c r="V508">
        <f>J508*0.5+I508*-0.5</f>
        <v>-0.247</v>
      </c>
      <c r="W508">
        <f>M508*0.5+G508*0.25+I508*0.25</f>
        <v>0.69599999999999995</v>
      </c>
    </row>
    <row r="509" spans="1:23" x14ac:dyDescent="0.2">
      <c r="A509">
        <v>0.3</v>
      </c>
      <c r="B509">
        <v>5</v>
      </c>
      <c r="C509">
        <v>4</v>
      </c>
      <c r="D509">
        <v>0.32100000000000001</v>
      </c>
      <c r="E509">
        <v>-5.1050000000000004</v>
      </c>
      <c r="F509">
        <v>203000</v>
      </c>
      <c r="G509">
        <v>0.65800000000000003</v>
      </c>
      <c r="H509">
        <v>201</v>
      </c>
      <c r="I509">
        <v>0.70899999999999996</v>
      </c>
      <c r="J509">
        <v>0.17199999999999999</v>
      </c>
      <c r="K509" t="s">
        <v>1390</v>
      </c>
      <c r="L509">
        <v>12</v>
      </c>
      <c r="M509">
        <v>0.93600000000000005</v>
      </c>
      <c r="N509">
        <v>95.438999999999993</v>
      </c>
      <c r="O509">
        <v>0</v>
      </c>
      <c r="P509">
        <v>0</v>
      </c>
      <c r="Q509">
        <v>7</v>
      </c>
      <c r="R509" t="s">
        <v>1391</v>
      </c>
      <c r="S509" t="s">
        <v>1392</v>
      </c>
      <c r="T509">
        <f>I509*-0.5+M509*0.5</f>
        <v>0.11350000000000005</v>
      </c>
      <c r="U509">
        <f>I509*0.7+M509*-0.25+D509*-0.25</f>
        <v>0.18204999999999999</v>
      </c>
      <c r="V509">
        <f>J509*0.5+I509*-0.5</f>
        <v>-0.26849999999999996</v>
      </c>
      <c r="W509">
        <f>M509*0.5+G509*0.25+I509*0.25</f>
        <v>0.80975000000000008</v>
      </c>
    </row>
    <row r="510" spans="1:23" x14ac:dyDescent="0.2">
      <c r="A510">
        <v>0.11899999999999999</v>
      </c>
      <c r="B510">
        <v>7</v>
      </c>
      <c r="C510">
        <v>4</v>
      </c>
      <c r="D510">
        <v>9.69E-2</v>
      </c>
      <c r="E510">
        <v>-4.944</v>
      </c>
      <c r="F510">
        <v>236400</v>
      </c>
      <c r="G510">
        <v>0.41199999999999998</v>
      </c>
      <c r="H510">
        <v>234</v>
      </c>
      <c r="I510">
        <v>0.35</v>
      </c>
      <c r="J510">
        <v>0.16300000000000001</v>
      </c>
      <c r="K510" t="s">
        <v>2021</v>
      </c>
      <c r="L510">
        <v>9</v>
      </c>
      <c r="M510">
        <v>0.57699999999999996</v>
      </c>
      <c r="N510">
        <v>173.67500000000001</v>
      </c>
      <c r="O510">
        <v>0</v>
      </c>
      <c r="P510">
        <v>1</v>
      </c>
      <c r="Q510">
        <v>13</v>
      </c>
      <c r="R510" t="s">
        <v>726</v>
      </c>
      <c r="S510" t="s">
        <v>2022</v>
      </c>
      <c r="T510">
        <f>I510*-0.5+M510*0.5</f>
        <v>0.11349999999999999</v>
      </c>
      <c r="U510">
        <f>I510*0.7+M510*-0.25+D510*-0.25</f>
        <v>7.6524999999999982E-2</v>
      </c>
      <c r="V510">
        <f>J510*0.5+I510*-0.5</f>
        <v>-9.3499999999999986E-2</v>
      </c>
      <c r="W510">
        <f>M510*0.5+G510*0.25+I510*0.25</f>
        <v>0.47899999999999998</v>
      </c>
    </row>
    <row r="511" spans="1:23" x14ac:dyDescent="0.2">
      <c r="A511">
        <v>9.2100000000000001E-2</v>
      </c>
      <c r="B511">
        <v>9</v>
      </c>
      <c r="C511">
        <v>4</v>
      </c>
      <c r="D511">
        <v>2.1000000000000001E-2</v>
      </c>
      <c r="E511">
        <v>-3.681</v>
      </c>
      <c r="F511">
        <v>296520</v>
      </c>
      <c r="G511">
        <v>0.61</v>
      </c>
      <c r="H511">
        <v>230</v>
      </c>
      <c r="I511">
        <v>0.66600000000000004</v>
      </c>
      <c r="J511">
        <v>0.154</v>
      </c>
      <c r="K511" t="s">
        <v>1424</v>
      </c>
      <c r="L511">
        <v>51</v>
      </c>
      <c r="M511">
        <v>0.89300000000000002</v>
      </c>
      <c r="N511">
        <v>104.03100000000001</v>
      </c>
      <c r="O511" s="1">
        <v>4.4100000000000001E-5</v>
      </c>
      <c r="P511">
        <v>1</v>
      </c>
      <c r="Q511">
        <v>8</v>
      </c>
      <c r="R511" t="s">
        <v>953</v>
      </c>
      <c r="S511" t="s">
        <v>1425</v>
      </c>
      <c r="T511">
        <f>I511*-0.5+M511*0.5</f>
        <v>0.11349999999999999</v>
      </c>
      <c r="U511">
        <f>I511*0.7+M511*-0.25+D511*-0.25</f>
        <v>0.23769999999999999</v>
      </c>
      <c r="V511">
        <f>J511*0.5+I511*-0.5</f>
        <v>-0.25600000000000001</v>
      </c>
      <c r="W511">
        <f>M511*0.5+G511*0.25+I511*0.25</f>
        <v>0.76549999999999996</v>
      </c>
    </row>
    <row r="512" spans="1:23" x14ac:dyDescent="0.2">
      <c r="A512">
        <v>0.222</v>
      </c>
      <c r="B512">
        <v>1</v>
      </c>
      <c r="C512">
        <v>4</v>
      </c>
      <c r="D512">
        <v>0.13500000000000001</v>
      </c>
      <c r="E512">
        <v>-3.5619999999999998</v>
      </c>
      <c r="F512">
        <v>195720</v>
      </c>
      <c r="G512">
        <v>0.67200000000000004</v>
      </c>
      <c r="H512">
        <v>193</v>
      </c>
      <c r="I512">
        <v>0.63600000000000001</v>
      </c>
      <c r="J512">
        <v>0.161</v>
      </c>
      <c r="K512" t="s">
        <v>1522</v>
      </c>
      <c r="L512">
        <v>40</v>
      </c>
      <c r="M512">
        <v>0.86199999999999999</v>
      </c>
      <c r="N512">
        <v>180.184</v>
      </c>
      <c r="O512">
        <v>0</v>
      </c>
      <c r="P512">
        <v>1</v>
      </c>
      <c r="Q512">
        <v>20</v>
      </c>
      <c r="R512" t="s">
        <v>1523</v>
      </c>
      <c r="S512" t="s">
        <v>1524</v>
      </c>
      <c r="T512">
        <f>I512*-0.5+M512*0.5</f>
        <v>0.11299999999999999</v>
      </c>
      <c r="U512">
        <f>I512*0.7+M512*-0.25+D512*-0.25</f>
        <v>0.19594999999999999</v>
      </c>
      <c r="V512">
        <f>J512*0.5+I512*-0.5</f>
        <v>-0.23749999999999999</v>
      </c>
      <c r="W512">
        <f>M512*0.5+G512*0.25+I512*0.25</f>
        <v>0.75800000000000001</v>
      </c>
    </row>
    <row r="513" spans="1:23" x14ac:dyDescent="0.2">
      <c r="A513">
        <v>3.8600000000000002E-2</v>
      </c>
      <c r="B513">
        <v>0</v>
      </c>
      <c r="C513">
        <v>4</v>
      </c>
      <c r="D513">
        <v>0.34300000000000003</v>
      </c>
      <c r="E513">
        <v>-3.004</v>
      </c>
      <c r="F513">
        <v>252040</v>
      </c>
      <c r="G513">
        <v>0.61599999999999999</v>
      </c>
      <c r="H513">
        <v>252</v>
      </c>
      <c r="I513">
        <v>0.68400000000000005</v>
      </c>
      <c r="J513">
        <v>4.5900000000000003E-2</v>
      </c>
      <c r="K513" t="s">
        <v>948</v>
      </c>
      <c r="L513">
        <v>26</v>
      </c>
      <c r="M513">
        <v>0.91</v>
      </c>
      <c r="N513">
        <v>144.07300000000001</v>
      </c>
      <c r="O513">
        <v>0</v>
      </c>
      <c r="P513">
        <v>1</v>
      </c>
      <c r="Q513">
        <v>17</v>
      </c>
      <c r="R513" t="s">
        <v>38</v>
      </c>
      <c r="S513" t="s">
        <v>949</v>
      </c>
      <c r="T513">
        <f>I513*-0.5+M513*0.5</f>
        <v>0.11299999999999999</v>
      </c>
      <c r="U513">
        <f>I513*0.7+M513*-0.25+D513*-0.25</f>
        <v>0.16554999999999997</v>
      </c>
      <c r="V513">
        <f>J513*0.5+I513*-0.5</f>
        <v>-0.31905</v>
      </c>
      <c r="W513">
        <f>M513*0.5+G513*0.25+I513*0.25</f>
        <v>0.78</v>
      </c>
    </row>
    <row r="514" spans="1:23" x14ac:dyDescent="0.2">
      <c r="A514">
        <v>5.3600000000000002E-2</v>
      </c>
      <c r="B514">
        <v>1</v>
      </c>
      <c r="C514">
        <v>4</v>
      </c>
      <c r="D514">
        <v>0.20300000000000001</v>
      </c>
      <c r="E514">
        <v>-5.4820000000000002</v>
      </c>
      <c r="F514">
        <v>204267</v>
      </c>
      <c r="G514">
        <v>0.57199999999999995</v>
      </c>
      <c r="H514">
        <v>204</v>
      </c>
      <c r="I514">
        <v>0.70799999999999996</v>
      </c>
      <c r="J514">
        <v>5.5E-2</v>
      </c>
      <c r="K514" t="s">
        <v>946</v>
      </c>
      <c r="L514">
        <v>2</v>
      </c>
      <c r="M514">
        <v>0.93200000000000005</v>
      </c>
      <c r="N514">
        <v>112.509</v>
      </c>
      <c r="O514">
        <v>0.76200000000000001</v>
      </c>
      <c r="P514">
        <v>1</v>
      </c>
      <c r="Q514">
        <v>7</v>
      </c>
      <c r="R514" t="s">
        <v>20</v>
      </c>
      <c r="S514" t="s">
        <v>947</v>
      </c>
      <c r="T514">
        <f>I514*-0.5+M514*0.5</f>
        <v>0.11200000000000004</v>
      </c>
      <c r="U514">
        <f>I514*0.7+M514*-0.25+D514*-0.25</f>
        <v>0.21184999999999993</v>
      </c>
      <c r="V514">
        <f>J514*0.5+I514*-0.5</f>
        <v>-0.32649999999999996</v>
      </c>
      <c r="W514">
        <f>M514*0.5+G514*0.25+I514*0.25</f>
        <v>0.78600000000000003</v>
      </c>
    </row>
    <row r="515" spans="1:23" x14ac:dyDescent="0.2">
      <c r="A515">
        <v>2.64E-2</v>
      </c>
      <c r="B515">
        <v>0</v>
      </c>
      <c r="C515">
        <v>4</v>
      </c>
      <c r="D515">
        <v>0.59499999999999997</v>
      </c>
      <c r="E515">
        <v>-4.4219999999999997</v>
      </c>
      <c r="F515">
        <v>260267</v>
      </c>
      <c r="G515">
        <v>0.68300000000000005</v>
      </c>
      <c r="H515">
        <v>217</v>
      </c>
      <c r="I515">
        <v>0.441</v>
      </c>
      <c r="J515">
        <v>9.1999999999999998E-2</v>
      </c>
      <c r="K515" t="s">
        <v>1677</v>
      </c>
      <c r="L515">
        <v>6</v>
      </c>
      <c r="M515">
        <v>0.66400000000000003</v>
      </c>
      <c r="N515">
        <v>116.14100000000001</v>
      </c>
      <c r="O515">
        <v>0</v>
      </c>
      <c r="P515">
        <v>1</v>
      </c>
      <c r="Q515">
        <v>9</v>
      </c>
      <c r="R515" t="s">
        <v>1582</v>
      </c>
      <c r="S515" t="s">
        <v>1678</v>
      </c>
      <c r="T515">
        <f>I515*-0.5+M515*0.5</f>
        <v>0.11150000000000002</v>
      </c>
      <c r="U515">
        <f>I515*0.7+M515*-0.25+D515*-0.25</f>
        <v>-6.0500000000000276E-3</v>
      </c>
      <c r="V515">
        <f>J515*0.5+I515*-0.5</f>
        <v>-0.17449999999999999</v>
      </c>
      <c r="W515">
        <f>M515*0.5+G515*0.25+I515*0.25</f>
        <v>0.61299999999999999</v>
      </c>
    </row>
    <row r="516" spans="1:23" x14ac:dyDescent="0.2">
      <c r="A516">
        <v>6.83E-2</v>
      </c>
      <c r="B516">
        <v>11</v>
      </c>
      <c r="C516">
        <v>4</v>
      </c>
      <c r="D516">
        <v>0.45800000000000002</v>
      </c>
      <c r="E516">
        <v>-3.573</v>
      </c>
      <c r="F516">
        <v>222187</v>
      </c>
      <c r="G516">
        <v>0.68799999999999994</v>
      </c>
      <c r="H516">
        <v>220</v>
      </c>
      <c r="I516">
        <v>0.49</v>
      </c>
      <c r="J516">
        <v>1.0800000000000001E-2</v>
      </c>
      <c r="K516" t="s">
        <v>1218</v>
      </c>
      <c r="L516">
        <v>54</v>
      </c>
      <c r="M516">
        <v>0.71199999999999997</v>
      </c>
      <c r="N516">
        <v>93.027000000000001</v>
      </c>
      <c r="O516">
        <v>0</v>
      </c>
      <c r="P516">
        <v>0</v>
      </c>
      <c r="Q516">
        <v>7</v>
      </c>
      <c r="R516" t="s">
        <v>649</v>
      </c>
      <c r="S516" t="s">
        <v>1219</v>
      </c>
      <c r="T516">
        <f>I516*-0.5+M516*0.5</f>
        <v>0.11099999999999999</v>
      </c>
      <c r="U516">
        <f>I516*0.7+M516*-0.25+D516*-0.25</f>
        <v>5.0499999999999975E-2</v>
      </c>
      <c r="V516">
        <f>J516*0.5+I516*-0.5</f>
        <v>-0.23960000000000001</v>
      </c>
      <c r="W516">
        <f>M516*0.5+G516*0.25+I516*0.25</f>
        <v>0.65050000000000008</v>
      </c>
    </row>
    <row r="517" spans="1:23" x14ac:dyDescent="0.2">
      <c r="A517">
        <v>2.5000000000000001E-2</v>
      </c>
      <c r="B517">
        <v>2</v>
      </c>
      <c r="C517">
        <v>4</v>
      </c>
      <c r="D517">
        <v>0.26800000000000002</v>
      </c>
      <c r="E517">
        <v>-4.4640000000000004</v>
      </c>
      <c r="F517">
        <v>213543</v>
      </c>
      <c r="G517">
        <v>0.55600000000000005</v>
      </c>
      <c r="H517">
        <v>211</v>
      </c>
      <c r="I517">
        <v>0.308</v>
      </c>
      <c r="J517">
        <v>0.4</v>
      </c>
      <c r="K517" t="s">
        <v>2639</v>
      </c>
      <c r="L517">
        <v>53</v>
      </c>
      <c r="M517">
        <v>0.52900000000000003</v>
      </c>
      <c r="N517">
        <v>89.887</v>
      </c>
      <c r="O517">
        <v>0</v>
      </c>
      <c r="P517">
        <v>1</v>
      </c>
      <c r="Q517">
        <v>19</v>
      </c>
      <c r="R517" t="s">
        <v>2640</v>
      </c>
      <c r="S517" t="s">
        <v>2641</v>
      </c>
      <c r="T517">
        <f>I517*-0.5+M517*0.5</f>
        <v>0.11050000000000001</v>
      </c>
      <c r="U517">
        <f>I517*0.7+M517*-0.25+D517*-0.25</f>
        <v>1.6349999999999976E-2</v>
      </c>
      <c r="V517">
        <f>J517*0.5+I517*-0.5</f>
        <v>4.6000000000000013E-2</v>
      </c>
      <c r="W517">
        <f>M517*0.5+G517*0.25+I517*0.25</f>
        <v>0.48050000000000004</v>
      </c>
    </row>
    <row r="518" spans="1:23" x14ac:dyDescent="0.2">
      <c r="A518">
        <v>5.7099999999999998E-2</v>
      </c>
      <c r="B518">
        <v>7</v>
      </c>
      <c r="C518">
        <v>4</v>
      </c>
      <c r="D518">
        <v>0.111</v>
      </c>
      <c r="E518">
        <v>-3.714</v>
      </c>
      <c r="F518">
        <v>224227</v>
      </c>
      <c r="G518">
        <v>0.71399999999999997</v>
      </c>
      <c r="H518">
        <v>222</v>
      </c>
      <c r="I518">
        <v>0.71299999999999997</v>
      </c>
      <c r="J518">
        <v>0.16500000000000001</v>
      </c>
      <c r="K518" t="s">
        <v>1405</v>
      </c>
      <c r="L518">
        <v>52</v>
      </c>
      <c r="M518">
        <v>0.93300000000000005</v>
      </c>
      <c r="N518">
        <v>120.01900000000001</v>
      </c>
      <c r="O518">
        <v>0</v>
      </c>
      <c r="P518">
        <v>1</v>
      </c>
      <c r="Q518">
        <v>10</v>
      </c>
      <c r="R518" t="s">
        <v>146</v>
      </c>
      <c r="S518" t="s">
        <v>1406</v>
      </c>
      <c r="T518">
        <f>I518*-0.5+M518*0.5</f>
        <v>0.11000000000000004</v>
      </c>
      <c r="U518">
        <f>I518*0.7+M518*-0.25+D518*-0.25</f>
        <v>0.23809999999999992</v>
      </c>
      <c r="V518">
        <f>J518*0.5+I518*-0.5</f>
        <v>-0.27399999999999997</v>
      </c>
      <c r="W518">
        <f>M518*0.5+G518*0.25+I518*0.25</f>
        <v>0.82325000000000004</v>
      </c>
    </row>
    <row r="519" spans="1:23" x14ac:dyDescent="0.2">
      <c r="A519">
        <v>5.1999999999999998E-2</v>
      </c>
      <c r="B519">
        <v>3</v>
      </c>
      <c r="C519">
        <v>4</v>
      </c>
      <c r="D519">
        <v>7.2099999999999997E-2</v>
      </c>
      <c r="E519">
        <v>-2.72</v>
      </c>
      <c r="F519">
        <v>205733</v>
      </c>
      <c r="G519">
        <v>0.68600000000000005</v>
      </c>
      <c r="H519">
        <v>205</v>
      </c>
      <c r="I519">
        <v>0.67800000000000005</v>
      </c>
      <c r="J519">
        <v>6.9800000000000005E-4</v>
      </c>
      <c r="K519" t="s">
        <v>833</v>
      </c>
      <c r="L519">
        <v>35</v>
      </c>
      <c r="M519">
        <v>0.89800000000000002</v>
      </c>
      <c r="N519">
        <v>122.985</v>
      </c>
      <c r="O519" s="1">
        <v>4.6100000000000002E-5</v>
      </c>
      <c r="P519">
        <v>0</v>
      </c>
      <c r="Q519">
        <v>5</v>
      </c>
      <c r="R519" t="s">
        <v>834</v>
      </c>
      <c r="S519" t="s">
        <v>835</v>
      </c>
      <c r="T519">
        <f>I519*-0.5+M519*0.5</f>
        <v>0.10999999999999999</v>
      </c>
      <c r="U519">
        <f>I519*0.7+M519*-0.25+D519*-0.25</f>
        <v>0.23207499999999998</v>
      </c>
      <c r="V519">
        <f>J519*0.5+I519*-0.5</f>
        <v>-0.33865100000000004</v>
      </c>
      <c r="W519">
        <f>M519*0.5+G519*0.25+I519*0.25</f>
        <v>0.79</v>
      </c>
    </row>
    <row r="520" spans="1:23" x14ac:dyDescent="0.2">
      <c r="A520">
        <v>4.0099999999999997E-2</v>
      </c>
      <c r="B520">
        <v>0</v>
      </c>
      <c r="C520">
        <v>4</v>
      </c>
      <c r="D520">
        <v>0.30599999999999999</v>
      </c>
      <c r="E520">
        <v>-4.7450000000000001</v>
      </c>
      <c r="F520">
        <v>195547</v>
      </c>
      <c r="G520">
        <v>0.79100000000000004</v>
      </c>
      <c r="H520">
        <v>193</v>
      </c>
      <c r="I520">
        <v>0.497</v>
      </c>
      <c r="J520">
        <v>9.0300000000000005E-2</v>
      </c>
      <c r="K520" t="s">
        <v>1574</v>
      </c>
      <c r="L520">
        <v>60</v>
      </c>
      <c r="M520">
        <v>0.71599999999999997</v>
      </c>
      <c r="N520">
        <v>121.967</v>
      </c>
      <c r="O520" s="1">
        <v>2.73E-5</v>
      </c>
      <c r="P520">
        <v>0</v>
      </c>
      <c r="Q520">
        <v>10</v>
      </c>
      <c r="R520" t="s">
        <v>1575</v>
      </c>
      <c r="S520" t="s">
        <v>1576</v>
      </c>
      <c r="T520">
        <f>I520*-0.5+M520*0.5</f>
        <v>0.10949999999999999</v>
      </c>
      <c r="U520">
        <f>I520*0.7+M520*-0.25+D520*-0.25</f>
        <v>9.2399999999999996E-2</v>
      </c>
      <c r="V520">
        <f>J520*0.5+I520*-0.5</f>
        <v>-0.20335</v>
      </c>
      <c r="W520">
        <f>M520*0.5+G520*0.25+I520*0.25</f>
        <v>0.67999999999999994</v>
      </c>
    </row>
    <row r="521" spans="1:23" x14ac:dyDescent="0.2">
      <c r="A521">
        <v>4.4299999999999999E-2</v>
      </c>
      <c r="B521">
        <v>8</v>
      </c>
      <c r="C521">
        <v>4</v>
      </c>
      <c r="D521">
        <v>0.151</v>
      </c>
      <c r="E521">
        <v>-6.1989999999999998</v>
      </c>
      <c r="F521">
        <v>228187</v>
      </c>
      <c r="G521">
        <v>0.621</v>
      </c>
      <c r="H521">
        <v>231</v>
      </c>
      <c r="I521">
        <v>0.66900000000000004</v>
      </c>
      <c r="J521">
        <v>0.19</v>
      </c>
      <c r="K521" t="s">
        <v>1623</v>
      </c>
      <c r="L521">
        <v>30</v>
      </c>
      <c r="M521">
        <v>0.88800000000000001</v>
      </c>
      <c r="N521">
        <v>102.986</v>
      </c>
      <c r="O521" s="1">
        <v>1.7E-5</v>
      </c>
      <c r="P521">
        <v>1</v>
      </c>
      <c r="Q521">
        <v>20</v>
      </c>
      <c r="R521" t="s">
        <v>802</v>
      </c>
      <c r="S521" t="s">
        <v>1624</v>
      </c>
      <c r="T521">
        <f>I521*-0.5+M521*0.5</f>
        <v>0.10949999999999999</v>
      </c>
      <c r="U521">
        <f>I521*0.7+M521*-0.25+D521*-0.25</f>
        <v>0.20854999999999999</v>
      </c>
      <c r="V521">
        <f>J521*0.5+I521*-0.5</f>
        <v>-0.23950000000000002</v>
      </c>
      <c r="W521">
        <f>M521*0.5+G521*0.25+I521*0.25</f>
        <v>0.76650000000000007</v>
      </c>
    </row>
    <row r="522" spans="1:23" x14ac:dyDescent="0.2">
      <c r="A522">
        <v>6.88E-2</v>
      </c>
      <c r="B522">
        <v>1</v>
      </c>
      <c r="C522">
        <v>4</v>
      </c>
      <c r="D522">
        <v>0.30599999999999999</v>
      </c>
      <c r="E522">
        <v>-4.444</v>
      </c>
      <c r="F522">
        <v>248133</v>
      </c>
      <c r="G522">
        <v>0.70599999999999996</v>
      </c>
      <c r="H522">
        <v>245</v>
      </c>
      <c r="I522">
        <v>0.67100000000000004</v>
      </c>
      <c r="J522">
        <v>5.8799999999999998E-2</v>
      </c>
      <c r="K522" t="s">
        <v>1056</v>
      </c>
      <c r="L522">
        <v>42</v>
      </c>
      <c r="M522">
        <v>0.89</v>
      </c>
      <c r="N522">
        <v>128.011</v>
      </c>
      <c r="O522">
        <v>2.8600000000000001E-3</v>
      </c>
      <c r="P522">
        <v>0</v>
      </c>
      <c r="Q522">
        <v>2</v>
      </c>
      <c r="R522" t="s">
        <v>916</v>
      </c>
      <c r="S522" t="s">
        <v>1057</v>
      </c>
      <c r="T522">
        <f>I522*-0.5+M522*0.5</f>
        <v>0.10949999999999999</v>
      </c>
      <c r="U522">
        <f>I522*0.7+M522*-0.25+D522*-0.25</f>
        <v>0.17070000000000002</v>
      </c>
      <c r="V522">
        <f>J522*0.5+I522*-0.5</f>
        <v>-0.30610000000000004</v>
      </c>
      <c r="W522">
        <f>M522*0.5+G522*0.25+I522*0.25</f>
        <v>0.78925000000000001</v>
      </c>
    </row>
    <row r="523" spans="1:23" x14ac:dyDescent="0.2">
      <c r="A523">
        <v>4.1099999999999998E-2</v>
      </c>
      <c r="B523">
        <v>1</v>
      </c>
      <c r="C523">
        <v>4</v>
      </c>
      <c r="D523">
        <v>7.7899999999999997E-2</v>
      </c>
      <c r="E523">
        <v>-5.4009999999999998</v>
      </c>
      <c r="F523">
        <v>231400</v>
      </c>
      <c r="G523">
        <v>0.56799999999999995</v>
      </c>
      <c r="H523">
        <v>232</v>
      </c>
      <c r="I523">
        <v>0.72099999999999997</v>
      </c>
      <c r="J523">
        <v>4.3100000000000001E-4</v>
      </c>
      <c r="K523" t="s">
        <v>750</v>
      </c>
      <c r="L523">
        <v>2</v>
      </c>
      <c r="M523">
        <v>0.94</v>
      </c>
      <c r="N523">
        <v>97.096000000000004</v>
      </c>
      <c r="O523" s="1">
        <v>4.9599999999999999E-5</v>
      </c>
      <c r="P523">
        <v>1</v>
      </c>
      <c r="Q523">
        <v>14</v>
      </c>
      <c r="R523" t="s">
        <v>547</v>
      </c>
      <c r="S523" t="s">
        <v>751</v>
      </c>
      <c r="T523">
        <f>I523*-0.5+M523*0.5</f>
        <v>0.10949999999999999</v>
      </c>
      <c r="U523">
        <f>I523*0.7+M523*-0.25+D523*-0.25</f>
        <v>0.25022499999999992</v>
      </c>
      <c r="V523">
        <f>J523*0.5+I523*-0.5</f>
        <v>-0.36028450000000001</v>
      </c>
      <c r="W523">
        <f>M523*0.5+G523*0.25+I523*0.25</f>
        <v>0.79225000000000001</v>
      </c>
    </row>
    <row r="524" spans="1:23" x14ac:dyDescent="0.2">
      <c r="A524">
        <v>3.4700000000000002E-2</v>
      </c>
      <c r="B524">
        <v>10</v>
      </c>
      <c r="C524">
        <v>4</v>
      </c>
      <c r="D524">
        <v>0.114</v>
      </c>
      <c r="E524">
        <v>-5.9480000000000004</v>
      </c>
      <c r="F524">
        <v>228133</v>
      </c>
      <c r="G524">
        <v>0.53600000000000003</v>
      </c>
      <c r="H524">
        <v>225</v>
      </c>
      <c r="I524">
        <v>0.55000000000000004</v>
      </c>
      <c r="J524">
        <v>4.3299999999999996E-3</v>
      </c>
      <c r="K524" t="s">
        <v>1110</v>
      </c>
      <c r="L524">
        <v>53</v>
      </c>
      <c r="M524">
        <v>0.76800000000000002</v>
      </c>
      <c r="N524">
        <v>77.216999999999999</v>
      </c>
      <c r="O524">
        <v>0</v>
      </c>
      <c r="P524">
        <v>0</v>
      </c>
      <c r="Q524">
        <v>8</v>
      </c>
      <c r="R524" t="s">
        <v>1111</v>
      </c>
      <c r="S524" t="s">
        <v>1112</v>
      </c>
      <c r="T524">
        <f>I524*-0.5+M524*0.5</f>
        <v>0.10899999999999999</v>
      </c>
      <c r="U524">
        <f>I524*0.7+M524*-0.25+D524*-0.25</f>
        <v>0.16450000000000001</v>
      </c>
      <c r="V524">
        <f>J524*0.5+I524*-0.5</f>
        <v>-0.27283500000000005</v>
      </c>
      <c r="W524">
        <f>M524*0.5+G524*0.25+I524*0.25</f>
        <v>0.65549999999999997</v>
      </c>
    </row>
    <row r="525" spans="1:23" x14ac:dyDescent="0.2">
      <c r="A525">
        <v>6.9800000000000001E-2</v>
      </c>
      <c r="B525">
        <v>6</v>
      </c>
      <c r="C525">
        <v>4</v>
      </c>
      <c r="D525">
        <v>0.14499999999999999</v>
      </c>
      <c r="E525">
        <v>-5.3970000000000002</v>
      </c>
      <c r="F525">
        <v>234213</v>
      </c>
      <c r="G525">
        <v>0.66700000000000004</v>
      </c>
      <c r="H525">
        <v>232</v>
      </c>
      <c r="I525">
        <v>0.40699999999999997</v>
      </c>
      <c r="J525">
        <v>0.25800000000000001</v>
      </c>
      <c r="K525" t="s">
        <v>2232</v>
      </c>
      <c r="L525">
        <v>59</v>
      </c>
      <c r="M525">
        <v>0.624</v>
      </c>
      <c r="N525">
        <v>124.012</v>
      </c>
      <c r="O525">
        <v>0</v>
      </c>
      <c r="P525">
        <v>0</v>
      </c>
      <c r="Q525">
        <v>7</v>
      </c>
      <c r="R525" t="s">
        <v>2233</v>
      </c>
      <c r="S525" t="s">
        <v>2234</v>
      </c>
      <c r="T525">
        <f>I525*-0.5+M525*0.5</f>
        <v>0.10850000000000001</v>
      </c>
      <c r="U525">
        <f>I525*0.7+M525*-0.25+D525*-0.25</f>
        <v>9.2649999999999982E-2</v>
      </c>
      <c r="V525">
        <f>J525*0.5+I525*-0.5</f>
        <v>-7.4499999999999983E-2</v>
      </c>
      <c r="W525">
        <f>M525*0.5+G525*0.25+I525*0.25</f>
        <v>0.58050000000000002</v>
      </c>
    </row>
    <row r="526" spans="1:23" x14ac:dyDescent="0.2">
      <c r="A526">
        <v>0.158</v>
      </c>
      <c r="B526">
        <v>7</v>
      </c>
      <c r="C526">
        <v>4</v>
      </c>
      <c r="D526">
        <v>0.34100000000000003</v>
      </c>
      <c r="E526">
        <v>-3.6320000000000001</v>
      </c>
      <c r="F526">
        <v>229507</v>
      </c>
      <c r="G526">
        <v>0.67300000000000004</v>
      </c>
      <c r="H526">
        <v>226</v>
      </c>
      <c r="I526">
        <v>0.54100000000000004</v>
      </c>
      <c r="J526">
        <v>3.9E-2</v>
      </c>
      <c r="K526" t="s">
        <v>1257</v>
      </c>
      <c r="L526">
        <v>46</v>
      </c>
      <c r="M526">
        <v>0.75800000000000001</v>
      </c>
      <c r="N526">
        <v>135.95599999999999</v>
      </c>
      <c r="O526">
        <v>0</v>
      </c>
      <c r="P526">
        <v>1</v>
      </c>
      <c r="Q526">
        <v>4</v>
      </c>
      <c r="R526" t="s">
        <v>1258</v>
      </c>
      <c r="S526" t="s">
        <v>1259</v>
      </c>
      <c r="T526">
        <f>I526*-0.5+M526*0.5</f>
        <v>0.10849999999999999</v>
      </c>
      <c r="U526">
        <f>I526*0.7+M526*-0.25+D526*-0.25</f>
        <v>0.10394999999999997</v>
      </c>
      <c r="V526">
        <f>J526*0.5+I526*-0.5</f>
        <v>-0.251</v>
      </c>
      <c r="W526">
        <f>M526*0.5+G526*0.25+I526*0.25</f>
        <v>0.6825</v>
      </c>
    </row>
    <row r="527" spans="1:23" x14ac:dyDescent="0.2">
      <c r="A527">
        <v>7.7600000000000002E-2</v>
      </c>
      <c r="B527">
        <v>2</v>
      </c>
      <c r="C527">
        <v>4</v>
      </c>
      <c r="D527">
        <v>0.38300000000000001</v>
      </c>
      <c r="E527">
        <v>-2.5859999999999999</v>
      </c>
      <c r="F527">
        <v>221227</v>
      </c>
      <c r="G527">
        <v>0.67600000000000005</v>
      </c>
      <c r="H527">
        <v>217</v>
      </c>
      <c r="I527">
        <v>0.72499999999999998</v>
      </c>
      <c r="J527">
        <v>6.9599999999999995E-2</v>
      </c>
      <c r="K527" t="s">
        <v>1015</v>
      </c>
      <c r="L527">
        <v>18</v>
      </c>
      <c r="M527">
        <v>0.94199999999999995</v>
      </c>
      <c r="N527">
        <v>136.04400000000001</v>
      </c>
      <c r="O527" s="1">
        <v>1.9700000000000002E-6</v>
      </c>
      <c r="P527">
        <v>0</v>
      </c>
      <c r="Q527">
        <v>2</v>
      </c>
      <c r="R527" t="s">
        <v>1016</v>
      </c>
      <c r="S527" t="s">
        <v>1017</v>
      </c>
      <c r="T527">
        <f>I527*-0.5+M527*0.5</f>
        <v>0.10849999999999999</v>
      </c>
      <c r="U527">
        <f>I527*0.7+M527*-0.25+D527*-0.25</f>
        <v>0.17624999999999996</v>
      </c>
      <c r="V527">
        <f>J527*0.5+I527*-0.5</f>
        <v>-0.32769999999999999</v>
      </c>
      <c r="W527">
        <f>M527*0.5+G527*0.25+I527*0.25</f>
        <v>0.82125000000000004</v>
      </c>
    </row>
    <row r="528" spans="1:23" x14ac:dyDescent="0.2">
      <c r="A528">
        <v>5.1200000000000002E-2</v>
      </c>
      <c r="B528">
        <v>7</v>
      </c>
      <c r="C528">
        <v>4</v>
      </c>
      <c r="D528">
        <v>6.3899999999999998E-2</v>
      </c>
      <c r="E528">
        <v>-4.125</v>
      </c>
      <c r="F528">
        <v>231733</v>
      </c>
      <c r="G528">
        <v>0.52300000000000002</v>
      </c>
      <c r="H528">
        <v>230</v>
      </c>
      <c r="I528">
        <v>0.57599999999999996</v>
      </c>
      <c r="J528">
        <v>9.4599999999999997E-3</v>
      </c>
      <c r="K528" t="s">
        <v>1084</v>
      </c>
      <c r="L528">
        <v>47</v>
      </c>
      <c r="M528">
        <v>0.79200000000000004</v>
      </c>
      <c r="N528">
        <v>80.141999999999996</v>
      </c>
      <c r="O528">
        <v>1.08E-4</v>
      </c>
      <c r="P528">
        <v>0</v>
      </c>
      <c r="Q528">
        <v>4</v>
      </c>
      <c r="R528" t="s">
        <v>140</v>
      </c>
      <c r="S528" t="s">
        <v>1085</v>
      </c>
      <c r="T528">
        <f>I528*-0.5+M528*0.5</f>
        <v>0.10800000000000004</v>
      </c>
      <c r="U528">
        <f>I528*0.7+M528*-0.25+D528*-0.25</f>
        <v>0.18922499999999995</v>
      </c>
      <c r="V528">
        <f>J528*0.5+I528*-0.5</f>
        <v>-0.28326999999999997</v>
      </c>
      <c r="W528">
        <f>M528*0.5+G528*0.25+I528*0.25</f>
        <v>0.67075000000000007</v>
      </c>
    </row>
    <row r="529" spans="1:23" x14ac:dyDescent="0.2">
      <c r="A529">
        <v>4.3900000000000002E-2</v>
      </c>
      <c r="B529">
        <v>3</v>
      </c>
      <c r="C529">
        <v>4</v>
      </c>
      <c r="D529">
        <v>0.373</v>
      </c>
      <c r="E529">
        <v>-4.8</v>
      </c>
      <c r="F529">
        <v>206000</v>
      </c>
      <c r="G529">
        <v>0.439</v>
      </c>
      <c r="H529">
        <v>205</v>
      </c>
      <c r="I529">
        <v>0.69</v>
      </c>
      <c r="J529">
        <v>1.9300000000000001E-2</v>
      </c>
      <c r="K529" t="s">
        <v>902</v>
      </c>
      <c r="L529">
        <v>28</v>
      </c>
      <c r="M529">
        <v>0.90600000000000003</v>
      </c>
      <c r="N529">
        <v>161.905</v>
      </c>
      <c r="O529">
        <v>0</v>
      </c>
      <c r="P529">
        <v>1</v>
      </c>
      <c r="Q529">
        <v>18</v>
      </c>
      <c r="R529" t="s">
        <v>643</v>
      </c>
      <c r="S529" t="s">
        <v>903</v>
      </c>
      <c r="T529">
        <f>I529*-0.5+M529*0.5</f>
        <v>0.10800000000000004</v>
      </c>
      <c r="U529">
        <f>I529*0.7+M529*-0.25+D529*-0.25</f>
        <v>0.16324999999999995</v>
      </c>
      <c r="V529">
        <f>J529*0.5+I529*-0.5</f>
        <v>-0.33534999999999998</v>
      </c>
      <c r="W529">
        <f>M529*0.5+G529*0.25+I529*0.25</f>
        <v>0.73524999999999996</v>
      </c>
    </row>
    <row r="530" spans="1:23" x14ac:dyDescent="0.2">
      <c r="A530">
        <v>0.186</v>
      </c>
      <c r="B530">
        <v>8</v>
      </c>
      <c r="C530">
        <v>4</v>
      </c>
      <c r="D530">
        <v>0.17699999999999999</v>
      </c>
      <c r="E530">
        <v>-4.7809999999999997</v>
      </c>
      <c r="F530">
        <v>326187</v>
      </c>
      <c r="G530">
        <v>0.59299999999999997</v>
      </c>
      <c r="H530">
        <v>250</v>
      </c>
      <c r="I530">
        <v>0.66700000000000004</v>
      </c>
      <c r="J530">
        <v>1.24E-2</v>
      </c>
      <c r="K530" t="s">
        <v>918</v>
      </c>
      <c r="L530">
        <v>32</v>
      </c>
      <c r="M530">
        <v>0.88300000000000001</v>
      </c>
      <c r="N530">
        <v>155.17099999999999</v>
      </c>
      <c r="O530">
        <v>0</v>
      </c>
      <c r="P530">
        <v>1</v>
      </c>
      <c r="Q530">
        <v>7</v>
      </c>
      <c r="R530" t="s">
        <v>919</v>
      </c>
      <c r="S530" t="s">
        <v>920</v>
      </c>
      <c r="T530">
        <f>I530*-0.5+M530*0.5</f>
        <v>0.10799999999999998</v>
      </c>
      <c r="U530">
        <f>I530*0.7+M530*-0.25+D530*-0.25</f>
        <v>0.20189999999999997</v>
      </c>
      <c r="V530">
        <f>J530*0.5+I530*-0.5</f>
        <v>-0.32730000000000004</v>
      </c>
      <c r="W530">
        <f>M530*0.5+G530*0.25+I530*0.25</f>
        <v>0.75649999999999995</v>
      </c>
    </row>
    <row r="531" spans="1:23" x14ac:dyDescent="0.2">
      <c r="A531">
        <v>3.95E-2</v>
      </c>
      <c r="B531">
        <v>2</v>
      </c>
      <c r="C531">
        <v>3</v>
      </c>
      <c r="D531">
        <v>0.373</v>
      </c>
      <c r="E531">
        <v>-4.5439999999999996</v>
      </c>
      <c r="F531">
        <v>224053</v>
      </c>
      <c r="G531">
        <v>0.59299999999999997</v>
      </c>
      <c r="H531">
        <v>222</v>
      </c>
      <c r="I531">
        <v>0.56299999999999994</v>
      </c>
      <c r="J531">
        <v>1.7000000000000001E-4</v>
      </c>
      <c r="K531" t="s">
        <v>1078</v>
      </c>
      <c r="L531">
        <v>39</v>
      </c>
      <c r="M531">
        <v>0.77800000000000002</v>
      </c>
      <c r="N531">
        <v>127.879</v>
      </c>
      <c r="O531" s="1">
        <v>1.2699999999999999E-6</v>
      </c>
      <c r="P531">
        <v>1</v>
      </c>
      <c r="Q531">
        <v>18</v>
      </c>
      <c r="R531" t="s">
        <v>1079</v>
      </c>
      <c r="S531" t="s">
        <v>1080</v>
      </c>
      <c r="T531">
        <f>I531*-0.5+M531*0.5</f>
        <v>0.10750000000000004</v>
      </c>
      <c r="U531">
        <f>I531*0.7+M531*-0.25+D531*-0.25</f>
        <v>0.10634999999999994</v>
      </c>
      <c r="V531">
        <f>J531*0.5+I531*-0.5</f>
        <v>-0.28141499999999997</v>
      </c>
      <c r="W531">
        <f>M531*0.5+G531*0.25+I531*0.25</f>
        <v>0.67799999999999994</v>
      </c>
    </row>
    <row r="532" spans="1:23" x14ac:dyDescent="0.2">
      <c r="A532">
        <v>8.1500000000000003E-2</v>
      </c>
      <c r="B532">
        <v>10</v>
      </c>
      <c r="C532">
        <v>4</v>
      </c>
      <c r="D532">
        <v>6.4899999999999999E-2</v>
      </c>
      <c r="E532">
        <v>-7.5030000000000001</v>
      </c>
      <c r="F532">
        <v>229526</v>
      </c>
      <c r="G532">
        <v>0.68899999999999995</v>
      </c>
      <c r="H532">
        <v>227</v>
      </c>
      <c r="I532">
        <v>0.26600000000000001</v>
      </c>
      <c r="J532">
        <v>0.36899999999999999</v>
      </c>
      <c r="K532" t="s">
        <v>2636</v>
      </c>
      <c r="L532">
        <v>56</v>
      </c>
      <c r="M532">
        <v>0.48099999999999998</v>
      </c>
      <c r="N532">
        <v>80.025000000000006</v>
      </c>
      <c r="O532" s="1">
        <v>1.0300000000000001E-6</v>
      </c>
      <c r="P532">
        <v>1</v>
      </c>
      <c r="Q532">
        <v>1</v>
      </c>
      <c r="R532" t="s">
        <v>2637</v>
      </c>
      <c r="S532" t="s">
        <v>2638</v>
      </c>
      <c r="T532">
        <f>I532*-0.5+M532*0.5</f>
        <v>0.10749999999999998</v>
      </c>
      <c r="U532">
        <f>I532*0.7+M532*-0.25+D532*-0.25</f>
        <v>4.9725000000000005E-2</v>
      </c>
      <c r="V532">
        <f>J532*0.5+I532*-0.5</f>
        <v>5.149999999999999E-2</v>
      </c>
      <c r="W532">
        <f>M532*0.5+G532*0.25+I532*0.25</f>
        <v>0.47924999999999995</v>
      </c>
    </row>
    <row r="533" spans="1:23" x14ac:dyDescent="0.2">
      <c r="A533">
        <v>4.99E-2</v>
      </c>
      <c r="B533">
        <v>1</v>
      </c>
      <c r="C533">
        <v>5</v>
      </c>
      <c r="D533">
        <v>6.8500000000000005E-2</v>
      </c>
      <c r="E533">
        <v>-2.88</v>
      </c>
      <c r="F533">
        <v>216120</v>
      </c>
      <c r="G533">
        <v>0.39900000000000002</v>
      </c>
      <c r="H533">
        <v>213</v>
      </c>
      <c r="I533">
        <v>0.57399999999999995</v>
      </c>
      <c r="J533">
        <v>1.9699999999999999E-2</v>
      </c>
      <c r="K533" t="s">
        <v>1155</v>
      </c>
      <c r="L533">
        <v>51</v>
      </c>
      <c r="M533">
        <v>0.78700000000000003</v>
      </c>
      <c r="N533">
        <v>117.089</v>
      </c>
      <c r="O533" s="1">
        <v>6.0699999999999998E-5</v>
      </c>
      <c r="P533">
        <v>1</v>
      </c>
      <c r="Q533">
        <v>10</v>
      </c>
      <c r="R533" t="s">
        <v>1156</v>
      </c>
      <c r="S533" t="s">
        <v>1157</v>
      </c>
      <c r="T533">
        <f>I533*-0.5+M533*0.5</f>
        <v>0.10650000000000004</v>
      </c>
      <c r="U533">
        <f>I533*0.7+M533*-0.25+D533*-0.25</f>
        <v>0.18792499999999993</v>
      </c>
      <c r="V533">
        <f>J533*0.5+I533*-0.5</f>
        <v>-0.27714999999999995</v>
      </c>
      <c r="W533">
        <f>M533*0.5+G533*0.25+I533*0.25</f>
        <v>0.63675000000000004</v>
      </c>
    </row>
    <row r="534" spans="1:23" x14ac:dyDescent="0.2">
      <c r="A534">
        <v>0.13400000000000001</v>
      </c>
      <c r="B534">
        <v>1</v>
      </c>
      <c r="C534">
        <v>4</v>
      </c>
      <c r="D534">
        <v>0.17899999999999999</v>
      </c>
      <c r="E534">
        <v>-8.0530000000000008</v>
      </c>
      <c r="F534">
        <v>217707</v>
      </c>
      <c r="G534">
        <v>0.72799999999999998</v>
      </c>
      <c r="H534">
        <v>214</v>
      </c>
      <c r="I534">
        <v>0.35</v>
      </c>
      <c r="J534">
        <v>0.621</v>
      </c>
      <c r="K534" t="s">
        <v>2935</v>
      </c>
      <c r="L534">
        <v>60</v>
      </c>
      <c r="M534">
        <v>0.56299999999999994</v>
      </c>
      <c r="N534">
        <v>100.017</v>
      </c>
      <c r="O534">
        <v>0</v>
      </c>
      <c r="P534">
        <v>0</v>
      </c>
      <c r="Q534">
        <v>3</v>
      </c>
      <c r="R534" t="s">
        <v>2936</v>
      </c>
      <c r="S534" t="s">
        <v>2937</v>
      </c>
      <c r="T534">
        <f>I534*-0.5+M534*0.5</f>
        <v>0.10649999999999998</v>
      </c>
      <c r="U534">
        <f>I534*0.7+M534*-0.25+D534*-0.25</f>
        <v>5.9499999999999983E-2</v>
      </c>
      <c r="V534">
        <f>J534*0.5+I534*-0.5</f>
        <v>0.13550000000000001</v>
      </c>
      <c r="W534">
        <f>M534*0.5+G534*0.25+I534*0.25</f>
        <v>0.55099999999999993</v>
      </c>
    </row>
    <row r="535" spans="1:23" x14ac:dyDescent="0.2">
      <c r="A535">
        <v>5.5500000000000001E-2</v>
      </c>
      <c r="B535">
        <v>10</v>
      </c>
      <c r="C535">
        <v>4</v>
      </c>
      <c r="D535">
        <v>8.5300000000000001E-2</v>
      </c>
      <c r="E535">
        <v>-5.4160000000000004</v>
      </c>
      <c r="F535">
        <v>222040</v>
      </c>
      <c r="G535">
        <v>0.74099999999999999</v>
      </c>
      <c r="H535">
        <v>221</v>
      </c>
      <c r="I535">
        <v>0.36199999999999999</v>
      </c>
      <c r="J535">
        <v>3.9800000000000002E-2</v>
      </c>
      <c r="K535" t="s">
        <v>1694</v>
      </c>
      <c r="L535">
        <v>13</v>
      </c>
      <c r="M535">
        <v>0.57499999999999996</v>
      </c>
      <c r="N535">
        <v>93.992000000000004</v>
      </c>
      <c r="O535">
        <v>0.127</v>
      </c>
      <c r="P535">
        <v>0</v>
      </c>
      <c r="Q535">
        <v>2</v>
      </c>
      <c r="R535" t="s">
        <v>1199</v>
      </c>
      <c r="S535" t="s">
        <v>1695</v>
      </c>
      <c r="T535">
        <f>I535*-0.5+M535*0.5</f>
        <v>0.10649999999999998</v>
      </c>
      <c r="U535">
        <f>I535*0.7+M535*-0.25+D535*-0.25</f>
        <v>8.8324999999999973E-2</v>
      </c>
      <c r="V535">
        <f>J535*0.5+I535*-0.5</f>
        <v>-0.16109999999999999</v>
      </c>
      <c r="W535">
        <f>M535*0.5+G535*0.25+I535*0.25</f>
        <v>0.56325000000000003</v>
      </c>
    </row>
    <row r="536" spans="1:23" x14ac:dyDescent="0.2">
      <c r="A536">
        <v>0.14599999999999999</v>
      </c>
      <c r="B536">
        <v>7</v>
      </c>
      <c r="C536">
        <v>4</v>
      </c>
      <c r="D536">
        <v>0.108</v>
      </c>
      <c r="E536">
        <v>-5.9210000000000003</v>
      </c>
      <c r="F536">
        <v>215414</v>
      </c>
      <c r="G536">
        <v>0.63200000000000001</v>
      </c>
      <c r="H536">
        <v>213</v>
      </c>
      <c r="I536">
        <v>0.48799999999999999</v>
      </c>
      <c r="J536">
        <v>1.14E-2</v>
      </c>
      <c r="K536" t="s">
        <v>1278</v>
      </c>
      <c r="L536">
        <v>59</v>
      </c>
      <c r="M536">
        <v>0.70099999999999996</v>
      </c>
      <c r="N536">
        <v>162.958</v>
      </c>
      <c r="O536">
        <v>0</v>
      </c>
      <c r="P536">
        <v>1</v>
      </c>
      <c r="Q536">
        <v>14</v>
      </c>
      <c r="R536" t="s">
        <v>243</v>
      </c>
      <c r="S536" t="s">
        <v>1279</v>
      </c>
      <c r="T536">
        <f>I536*-0.5+M536*0.5</f>
        <v>0.10649999999999998</v>
      </c>
      <c r="U536">
        <f>I536*0.7+M536*-0.25+D536*-0.25</f>
        <v>0.13934999999999997</v>
      </c>
      <c r="V536">
        <f>J536*0.5+I536*-0.5</f>
        <v>-0.23829999999999998</v>
      </c>
      <c r="W536">
        <f>M536*0.5+G536*0.25+I536*0.25</f>
        <v>0.63049999999999995</v>
      </c>
    </row>
    <row r="537" spans="1:23" x14ac:dyDescent="0.2">
      <c r="A537">
        <v>0.38300000000000001</v>
      </c>
      <c r="B537">
        <v>7</v>
      </c>
      <c r="C537">
        <v>4</v>
      </c>
      <c r="D537">
        <v>0.45800000000000002</v>
      </c>
      <c r="E537">
        <v>-6.2729999999999997</v>
      </c>
      <c r="F537">
        <v>247880</v>
      </c>
      <c r="G537">
        <v>0.56499999999999995</v>
      </c>
      <c r="H537">
        <v>229</v>
      </c>
      <c r="I537">
        <v>0.39900000000000002</v>
      </c>
      <c r="J537">
        <v>7.1499999999999994E-2</v>
      </c>
      <c r="K537" t="s">
        <v>1745</v>
      </c>
      <c r="L537">
        <v>17</v>
      </c>
      <c r="M537">
        <v>0.61099999999999999</v>
      </c>
      <c r="N537">
        <v>89.98</v>
      </c>
      <c r="O537">
        <v>0</v>
      </c>
      <c r="P537">
        <v>1</v>
      </c>
      <c r="Q537">
        <v>10</v>
      </c>
      <c r="R537" t="s">
        <v>1746</v>
      </c>
      <c r="S537" t="s">
        <v>1747</v>
      </c>
      <c r="T537">
        <f>I537*-0.5+M537*0.5</f>
        <v>0.10599999999999998</v>
      </c>
      <c r="U537">
        <f>I537*0.7+M537*-0.25+D537*-0.25</f>
        <v>1.2049999999999991E-2</v>
      </c>
      <c r="V537">
        <f>J537*0.5+I537*-0.5</f>
        <v>-0.16375000000000001</v>
      </c>
      <c r="W537">
        <f>M537*0.5+G537*0.25+I537*0.25</f>
        <v>0.54649999999999999</v>
      </c>
    </row>
    <row r="538" spans="1:23" x14ac:dyDescent="0.2">
      <c r="A538">
        <v>5.0299999999999997E-2</v>
      </c>
      <c r="B538">
        <v>0</v>
      </c>
      <c r="C538">
        <v>4</v>
      </c>
      <c r="D538">
        <v>0.21099999999999999</v>
      </c>
      <c r="E538">
        <v>-3.5259999999999998</v>
      </c>
      <c r="F538">
        <v>238000</v>
      </c>
      <c r="G538">
        <v>0.53</v>
      </c>
      <c r="H538">
        <v>236</v>
      </c>
      <c r="I538">
        <v>0.73799999999999999</v>
      </c>
      <c r="J538">
        <v>0.28399999999999997</v>
      </c>
      <c r="K538" t="s">
        <v>1857</v>
      </c>
      <c r="L538">
        <v>34</v>
      </c>
      <c r="M538">
        <v>0.95</v>
      </c>
      <c r="N538">
        <v>146.035</v>
      </c>
      <c r="O538" s="1">
        <v>1.01E-5</v>
      </c>
      <c r="P538">
        <v>1</v>
      </c>
      <c r="Q538">
        <v>10</v>
      </c>
      <c r="R538" t="s">
        <v>146</v>
      </c>
      <c r="S538" t="s">
        <v>1858</v>
      </c>
      <c r="T538">
        <f>I538*-0.5+M538*0.5</f>
        <v>0.10599999999999998</v>
      </c>
      <c r="U538">
        <f>I538*0.7+M538*-0.25+D538*-0.25</f>
        <v>0.22634999999999997</v>
      </c>
      <c r="V538">
        <f>J538*0.5+I538*-0.5</f>
        <v>-0.22700000000000001</v>
      </c>
      <c r="W538">
        <f>M538*0.5+G538*0.25+I538*0.25</f>
        <v>0.79199999999999993</v>
      </c>
    </row>
    <row r="539" spans="1:23" x14ac:dyDescent="0.2">
      <c r="A539">
        <v>0.27500000000000002</v>
      </c>
      <c r="B539">
        <v>1</v>
      </c>
      <c r="C539">
        <v>4</v>
      </c>
      <c r="D539">
        <v>0.152</v>
      </c>
      <c r="E539">
        <v>-4.3860000000000001</v>
      </c>
      <c r="F539">
        <v>207907</v>
      </c>
      <c r="G539">
        <v>0.84</v>
      </c>
      <c r="H539">
        <v>207</v>
      </c>
      <c r="I539">
        <v>0.624</v>
      </c>
      <c r="J539">
        <v>2.81E-3</v>
      </c>
      <c r="K539" t="s">
        <v>983</v>
      </c>
      <c r="L539">
        <v>8</v>
      </c>
      <c r="M539">
        <v>0.83499999999999996</v>
      </c>
      <c r="N539">
        <v>103.376</v>
      </c>
      <c r="O539" s="1">
        <v>1.11E-6</v>
      </c>
      <c r="P539">
        <v>0</v>
      </c>
      <c r="Q539">
        <v>1</v>
      </c>
      <c r="R539" t="s">
        <v>726</v>
      </c>
      <c r="S539" t="s">
        <v>984</v>
      </c>
      <c r="T539">
        <f>I539*-0.5+M539*0.5</f>
        <v>0.10549999999999998</v>
      </c>
      <c r="U539">
        <f>I539*0.7+M539*-0.25+D539*-0.25</f>
        <v>0.19004999999999997</v>
      </c>
      <c r="V539">
        <f>J539*0.5+I539*-0.5</f>
        <v>-0.31059500000000001</v>
      </c>
      <c r="W539">
        <f>M539*0.5+G539*0.25+I539*0.25</f>
        <v>0.78349999999999997</v>
      </c>
    </row>
    <row r="540" spans="1:23" x14ac:dyDescent="0.2">
      <c r="A540">
        <v>8.8200000000000001E-2</v>
      </c>
      <c r="B540">
        <v>8</v>
      </c>
      <c r="C540">
        <v>4</v>
      </c>
      <c r="D540">
        <v>0.11799999999999999</v>
      </c>
      <c r="E540">
        <v>-3.8650000000000002</v>
      </c>
      <c r="F540">
        <v>224573</v>
      </c>
      <c r="G540">
        <v>0.88400000000000001</v>
      </c>
      <c r="H540">
        <v>222</v>
      </c>
      <c r="I540">
        <v>0.55500000000000005</v>
      </c>
      <c r="J540">
        <v>6.3E-2</v>
      </c>
      <c r="K540" t="s">
        <v>1370</v>
      </c>
      <c r="L540">
        <v>55</v>
      </c>
      <c r="M540">
        <v>0.76500000000000001</v>
      </c>
      <c r="N540">
        <v>99.986999999999995</v>
      </c>
      <c r="O540" s="1">
        <v>7.0400000000000004E-6</v>
      </c>
      <c r="P540">
        <v>1</v>
      </c>
      <c r="Q540">
        <v>4</v>
      </c>
      <c r="R540" t="s">
        <v>1371</v>
      </c>
      <c r="S540" t="s">
        <v>1372</v>
      </c>
      <c r="T540">
        <f>I540*-0.5+M540*0.5</f>
        <v>0.10499999999999998</v>
      </c>
      <c r="U540">
        <f>I540*0.7+M540*-0.25+D540*-0.25</f>
        <v>0.16775000000000001</v>
      </c>
      <c r="V540">
        <f>J540*0.5+I540*-0.5</f>
        <v>-0.24600000000000002</v>
      </c>
      <c r="W540">
        <f>M540*0.5+G540*0.25+I540*0.25</f>
        <v>0.74225000000000008</v>
      </c>
    </row>
    <row r="541" spans="1:23" x14ac:dyDescent="0.2">
      <c r="A541">
        <v>0.254</v>
      </c>
      <c r="B541">
        <v>5</v>
      </c>
      <c r="C541">
        <v>4</v>
      </c>
      <c r="D541">
        <v>0.189</v>
      </c>
      <c r="E541">
        <v>-3.742</v>
      </c>
      <c r="F541">
        <v>192573</v>
      </c>
      <c r="G541">
        <v>0.79100000000000004</v>
      </c>
      <c r="H541">
        <v>192</v>
      </c>
      <c r="I541">
        <v>0.504</v>
      </c>
      <c r="J541">
        <v>1.6299999999999999E-2</v>
      </c>
      <c r="K541" t="s">
        <v>1289</v>
      </c>
      <c r="L541">
        <v>31</v>
      </c>
      <c r="M541">
        <v>0.71299999999999997</v>
      </c>
      <c r="N541">
        <v>130.012</v>
      </c>
      <c r="O541">
        <v>0</v>
      </c>
      <c r="P541">
        <v>0</v>
      </c>
      <c r="Q541">
        <v>15</v>
      </c>
      <c r="R541" t="s">
        <v>1290</v>
      </c>
      <c r="S541" t="s">
        <v>1291</v>
      </c>
      <c r="T541">
        <f>I541*-0.5+M541*0.5</f>
        <v>0.10449999999999998</v>
      </c>
      <c r="U541">
        <f>I541*0.7+M541*-0.25+D541*-0.25</f>
        <v>0.12730000000000002</v>
      </c>
      <c r="V541">
        <f>J541*0.5+I541*-0.5</f>
        <v>-0.24385000000000001</v>
      </c>
      <c r="W541">
        <f>M541*0.5+G541*0.25+I541*0.25</f>
        <v>0.68025000000000002</v>
      </c>
    </row>
    <row r="542" spans="1:23" x14ac:dyDescent="0.2">
      <c r="A542">
        <v>0.33100000000000002</v>
      </c>
      <c r="B542">
        <v>8</v>
      </c>
      <c r="C542">
        <v>4</v>
      </c>
      <c r="D542">
        <v>0.161</v>
      </c>
      <c r="E542">
        <v>-5.07</v>
      </c>
      <c r="F542">
        <v>333507</v>
      </c>
      <c r="G542">
        <v>0.72499999999999998</v>
      </c>
      <c r="H542">
        <v>216</v>
      </c>
      <c r="I542">
        <v>0.63100000000000001</v>
      </c>
      <c r="J542">
        <v>2.69E-2</v>
      </c>
      <c r="K542" t="s">
        <v>1081</v>
      </c>
      <c r="L542">
        <v>37</v>
      </c>
      <c r="M542">
        <v>0.84</v>
      </c>
      <c r="N542">
        <v>127.992</v>
      </c>
      <c r="O542" s="1">
        <v>1.8700000000000001E-6</v>
      </c>
      <c r="P542">
        <v>1</v>
      </c>
      <c r="Q542">
        <v>7</v>
      </c>
      <c r="R542" t="s">
        <v>1082</v>
      </c>
      <c r="S542" t="s">
        <v>1083</v>
      </c>
      <c r="T542">
        <f>I542*-0.5+M542*0.5</f>
        <v>0.10449999999999998</v>
      </c>
      <c r="U542">
        <f>I542*0.7+M542*-0.25+D542*-0.25</f>
        <v>0.19144999999999998</v>
      </c>
      <c r="V542">
        <f>J542*0.5+I542*-0.5</f>
        <v>-0.30204999999999999</v>
      </c>
      <c r="W542">
        <f>M542*0.5+G542*0.25+I542*0.25</f>
        <v>0.7589999999999999</v>
      </c>
    </row>
    <row r="543" spans="1:23" x14ac:dyDescent="0.2">
      <c r="A543">
        <v>5.9499999999999997E-2</v>
      </c>
      <c r="B543">
        <v>2</v>
      </c>
      <c r="C543">
        <v>4</v>
      </c>
      <c r="D543">
        <v>4.7800000000000002E-2</v>
      </c>
      <c r="E543">
        <v>-2.1909999999999998</v>
      </c>
      <c r="F543">
        <v>177333</v>
      </c>
      <c r="G543">
        <v>0.47599999999999998</v>
      </c>
      <c r="H543">
        <v>176</v>
      </c>
      <c r="I543">
        <v>0.63800000000000001</v>
      </c>
      <c r="J543">
        <v>0.111</v>
      </c>
      <c r="K543" t="s">
        <v>1414</v>
      </c>
      <c r="L543">
        <v>35</v>
      </c>
      <c r="M543">
        <v>0.84699999999999998</v>
      </c>
      <c r="N543">
        <v>156.22900000000001</v>
      </c>
      <c r="O543">
        <v>0</v>
      </c>
      <c r="P543">
        <v>1</v>
      </c>
      <c r="Q543">
        <v>15</v>
      </c>
      <c r="R543" t="s">
        <v>1303</v>
      </c>
      <c r="S543" t="s">
        <v>1415</v>
      </c>
      <c r="T543">
        <f>I543*-0.5+M543*0.5</f>
        <v>0.10449999999999998</v>
      </c>
      <c r="U543">
        <f>I543*0.7+M543*-0.25+D543*-0.25</f>
        <v>0.22290000000000001</v>
      </c>
      <c r="V543">
        <f>J543*0.5+I543*-0.5</f>
        <v>-0.26350000000000001</v>
      </c>
      <c r="W543">
        <f>M543*0.5+G543*0.25+I543*0.25</f>
        <v>0.70199999999999996</v>
      </c>
    </row>
    <row r="544" spans="1:23" x14ac:dyDescent="0.2">
      <c r="A544">
        <v>9.7299999999999998E-2</v>
      </c>
      <c r="B544">
        <v>7</v>
      </c>
      <c r="C544">
        <v>4</v>
      </c>
      <c r="D544">
        <v>8.2799999999999999E-2</v>
      </c>
      <c r="E544">
        <v>-2.85</v>
      </c>
      <c r="F544">
        <v>222160</v>
      </c>
      <c r="G544">
        <v>0.66600000000000004</v>
      </c>
      <c r="H544">
        <v>219</v>
      </c>
      <c r="I544">
        <v>0.67</v>
      </c>
      <c r="J544">
        <v>0.03</v>
      </c>
      <c r="K544" t="s">
        <v>1023</v>
      </c>
      <c r="L544">
        <v>36</v>
      </c>
      <c r="M544">
        <v>0.878</v>
      </c>
      <c r="N544">
        <v>119.932</v>
      </c>
      <c r="O544">
        <v>0</v>
      </c>
      <c r="P544">
        <v>0</v>
      </c>
      <c r="Q544">
        <v>2</v>
      </c>
      <c r="R544" t="s">
        <v>1024</v>
      </c>
      <c r="S544" t="s">
        <v>1025</v>
      </c>
      <c r="T544">
        <f>I544*-0.5+M544*0.5</f>
        <v>0.10399999999999998</v>
      </c>
      <c r="U544">
        <f>I544*0.7+M544*-0.25+D544*-0.25</f>
        <v>0.22879999999999998</v>
      </c>
      <c r="V544">
        <f>J544*0.5+I544*-0.5</f>
        <v>-0.32</v>
      </c>
      <c r="W544">
        <f>M544*0.5+G544*0.25+I544*0.25</f>
        <v>0.77300000000000002</v>
      </c>
    </row>
    <row r="545" spans="1:23" x14ac:dyDescent="0.2">
      <c r="A545">
        <v>4.5400000000000003E-2</v>
      </c>
      <c r="B545">
        <v>9</v>
      </c>
      <c r="C545">
        <v>4</v>
      </c>
      <c r="D545">
        <v>7.6899999999999996E-2</v>
      </c>
      <c r="E545">
        <v>-3.8959999999999999</v>
      </c>
      <c r="F545">
        <v>202907</v>
      </c>
      <c r="G545">
        <v>0.72099999999999997</v>
      </c>
      <c r="H545">
        <v>181</v>
      </c>
      <c r="I545">
        <v>0.67200000000000004</v>
      </c>
      <c r="J545">
        <v>0.191</v>
      </c>
      <c r="K545" t="s">
        <v>1692</v>
      </c>
      <c r="L545">
        <v>28</v>
      </c>
      <c r="M545">
        <v>0.88</v>
      </c>
      <c r="N545">
        <v>110.021</v>
      </c>
      <c r="O545">
        <v>0</v>
      </c>
      <c r="P545">
        <v>0</v>
      </c>
      <c r="Q545">
        <v>8</v>
      </c>
      <c r="R545" t="s">
        <v>1237</v>
      </c>
      <c r="S545" t="s">
        <v>1693</v>
      </c>
      <c r="T545">
        <f>I545*-0.5+M545*0.5</f>
        <v>0.10399999999999998</v>
      </c>
      <c r="U545">
        <f>I545*0.7+M545*-0.25+D545*-0.25</f>
        <v>0.23117499999999996</v>
      </c>
      <c r="V545">
        <f>J545*0.5+I545*-0.5</f>
        <v>-0.24050000000000002</v>
      </c>
      <c r="W545">
        <f>M545*0.5+G545*0.25+I545*0.25</f>
        <v>0.78825000000000001</v>
      </c>
    </row>
    <row r="546" spans="1:23" x14ac:dyDescent="0.2">
      <c r="A546">
        <v>7.7600000000000002E-2</v>
      </c>
      <c r="B546">
        <v>1</v>
      </c>
      <c r="C546">
        <v>4</v>
      </c>
      <c r="D546">
        <v>7.5300000000000006E-2</v>
      </c>
      <c r="E546">
        <v>-5.8730000000000002</v>
      </c>
      <c r="F546">
        <v>243307</v>
      </c>
      <c r="G546">
        <v>0.69099999999999995</v>
      </c>
      <c r="H546">
        <v>242</v>
      </c>
      <c r="I546">
        <v>0.33400000000000002</v>
      </c>
      <c r="J546">
        <v>0.50800000000000001</v>
      </c>
      <c r="K546" t="s">
        <v>2831</v>
      </c>
      <c r="L546">
        <v>14</v>
      </c>
      <c r="M546">
        <v>0.54100000000000004</v>
      </c>
      <c r="N546">
        <v>127.68300000000001</v>
      </c>
      <c r="O546">
        <v>0</v>
      </c>
      <c r="P546">
        <v>1</v>
      </c>
      <c r="Q546">
        <v>12</v>
      </c>
      <c r="R546" t="s">
        <v>2829</v>
      </c>
      <c r="S546" t="s">
        <v>2832</v>
      </c>
      <c r="T546">
        <f>I546*-0.5+M546*0.5</f>
        <v>0.10350000000000001</v>
      </c>
      <c r="U546">
        <f>I546*0.7+M546*-0.25+D546*-0.25</f>
        <v>7.972499999999999E-2</v>
      </c>
      <c r="V546">
        <f>J546*0.5+I546*-0.5</f>
        <v>8.6999999999999994E-2</v>
      </c>
      <c r="W546">
        <f>M546*0.5+G546*0.25+I546*0.25</f>
        <v>0.52675000000000005</v>
      </c>
    </row>
    <row r="547" spans="1:23" x14ac:dyDescent="0.2">
      <c r="A547">
        <v>0.10199999999999999</v>
      </c>
      <c r="B547">
        <v>1</v>
      </c>
      <c r="C547">
        <v>4</v>
      </c>
      <c r="D547">
        <v>0.156</v>
      </c>
      <c r="E547">
        <v>-5.7919999999999998</v>
      </c>
      <c r="F547">
        <v>227973</v>
      </c>
      <c r="G547">
        <v>0.59399999999999997</v>
      </c>
      <c r="H547">
        <v>224</v>
      </c>
      <c r="I547">
        <v>0.63400000000000001</v>
      </c>
      <c r="J547">
        <v>2.3800000000000001E-4</v>
      </c>
      <c r="K547" t="s">
        <v>981</v>
      </c>
      <c r="L547">
        <v>42</v>
      </c>
      <c r="M547">
        <v>0.84099999999999997</v>
      </c>
      <c r="N547">
        <v>129.92500000000001</v>
      </c>
      <c r="O547" s="1">
        <v>2.2199999999999999E-6</v>
      </c>
      <c r="P547">
        <v>1</v>
      </c>
      <c r="Q547">
        <v>7</v>
      </c>
      <c r="R547" t="s">
        <v>556</v>
      </c>
      <c r="S547" t="s">
        <v>982</v>
      </c>
      <c r="T547">
        <f>I547*-0.5+M547*0.5</f>
        <v>0.10349999999999998</v>
      </c>
      <c r="U547">
        <f>I547*0.7+M547*-0.25+D547*-0.25</f>
        <v>0.19454999999999997</v>
      </c>
      <c r="V547">
        <f>J547*0.5+I547*-0.5</f>
        <v>-0.31688100000000002</v>
      </c>
      <c r="W547">
        <f>M547*0.5+G547*0.25+I547*0.25</f>
        <v>0.72749999999999992</v>
      </c>
    </row>
    <row r="548" spans="1:23" x14ac:dyDescent="0.2">
      <c r="A548">
        <v>2.6700000000000002E-2</v>
      </c>
      <c r="B548">
        <v>2</v>
      </c>
      <c r="C548">
        <v>4</v>
      </c>
      <c r="D548">
        <v>0.183</v>
      </c>
      <c r="E548">
        <v>-8.4339999999999993</v>
      </c>
      <c r="F548">
        <v>273213</v>
      </c>
      <c r="G548">
        <v>0.623</v>
      </c>
      <c r="H548">
        <v>213</v>
      </c>
      <c r="I548">
        <v>0.36499999999999999</v>
      </c>
      <c r="J548">
        <v>4.6100000000000002E-2</v>
      </c>
      <c r="K548" t="s">
        <v>1753</v>
      </c>
      <c r="L548">
        <v>10</v>
      </c>
      <c r="M548">
        <v>0.56899999999999995</v>
      </c>
      <c r="N548">
        <v>112.039</v>
      </c>
      <c r="O548">
        <v>0.63800000000000001</v>
      </c>
      <c r="P548">
        <v>1</v>
      </c>
      <c r="Q548">
        <v>17</v>
      </c>
      <c r="R548" t="s">
        <v>1754</v>
      </c>
      <c r="S548" t="s">
        <v>1755</v>
      </c>
      <c r="T548">
        <f>I548*-0.5+M548*0.5</f>
        <v>0.10199999999999998</v>
      </c>
      <c r="U548">
        <f>I548*0.7+M548*-0.25+D548*-0.25</f>
        <v>6.7500000000000018E-2</v>
      </c>
      <c r="V548">
        <f>J548*0.5+I548*-0.5</f>
        <v>-0.15944999999999998</v>
      </c>
      <c r="W548">
        <f>M548*0.5+G548*0.25+I548*0.25</f>
        <v>0.53149999999999997</v>
      </c>
    </row>
    <row r="549" spans="1:23" x14ac:dyDescent="0.2">
      <c r="A549">
        <v>0.28100000000000003</v>
      </c>
      <c r="B549">
        <v>1</v>
      </c>
      <c r="C549">
        <v>4</v>
      </c>
      <c r="D549">
        <v>0.36699999999999999</v>
      </c>
      <c r="E549">
        <v>-5.617</v>
      </c>
      <c r="F549">
        <v>244174</v>
      </c>
      <c r="G549">
        <v>0.69499999999999995</v>
      </c>
      <c r="H549">
        <v>235</v>
      </c>
      <c r="I549">
        <v>0.63300000000000001</v>
      </c>
      <c r="J549">
        <v>0.245</v>
      </c>
      <c r="K549" t="s">
        <v>1940</v>
      </c>
      <c r="L549">
        <v>60</v>
      </c>
      <c r="M549">
        <v>0.83699999999999997</v>
      </c>
      <c r="N549">
        <v>115.06699999999999</v>
      </c>
      <c r="O549">
        <v>0</v>
      </c>
      <c r="P549">
        <v>0</v>
      </c>
      <c r="Q549">
        <v>11</v>
      </c>
      <c r="R549" t="s">
        <v>1941</v>
      </c>
      <c r="S549" t="s">
        <v>1942</v>
      </c>
      <c r="T549">
        <f>I549*-0.5+M549*0.5</f>
        <v>0.10199999999999998</v>
      </c>
      <c r="U549">
        <f>I549*0.7+M549*-0.25+D549*-0.25</f>
        <v>0.1421</v>
      </c>
      <c r="V549">
        <f>J549*0.5+I549*-0.5</f>
        <v>-0.19400000000000001</v>
      </c>
      <c r="W549">
        <f>M549*0.5+G549*0.25+I549*0.25</f>
        <v>0.75049999999999994</v>
      </c>
    </row>
    <row r="550" spans="1:23" x14ac:dyDescent="0.2">
      <c r="A550">
        <v>3.4700000000000002E-2</v>
      </c>
      <c r="B550">
        <v>2</v>
      </c>
      <c r="C550">
        <v>4</v>
      </c>
      <c r="D550">
        <v>9.6299999999999997E-2</v>
      </c>
      <c r="E550">
        <v>-2.9140000000000001</v>
      </c>
      <c r="F550">
        <v>254120</v>
      </c>
      <c r="G550">
        <v>0.623</v>
      </c>
      <c r="H550">
        <v>253</v>
      </c>
      <c r="I550">
        <v>0.71</v>
      </c>
      <c r="J550">
        <v>9.1800000000000007E-3</v>
      </c>
      <c r="K550" t="s">
        <v>896</v>
      </c>
      <c r="L550">
        <v>33</v>
      </c>
      <c r="M550">
        <v>0.91300000000000003</v>
      </c>
      <c r="N550">
        <v>127.97199999999999</v>
      </c>
      <c r="O550" s="1">
        <v>9.7E-5</v>
      </c>
      <c r="P550">
        <v>0</v>
      </c>
      <c r="Q550">
        <v>21</v>
      </c>
      <c r="R550" t="s">
        <v>897</v>
      </c>
      <c r="S550" t="s">
        <v>898</v>
      </c>
      <c r="T550">
        <f>I550*-0.5+M550*0.5</f>
        <v>0.10150000000000003</v>
      </c>
      <c r="U550">
        <f>I550*0.7+M550*-0.25+D550*-0.25</f>
        <v>0.24467499999999992</v>
      </c>
      <c r="V550">
        <f>J550*0.5+I550*-0.5</f>
        <v>-0.35041</v>
      </c>
      <c r="W550">
        <f>M550*0.5+G550*0.25+I550*0.25</f>
        <v>0.78974999999999995</v>
      </c>
    </row>
    <row r="551" spans="1:23" x14ac:dyDescent="0.2">
      <c r="A551">
        <v>5.7000000000000002E-2</v>
      </c>
      <c r="B551">
        <v>0</v>
      </c>
      <c r="C551">
        <v>4</v>
      </c>
      <c r="D551">
        <v>0.54700000000000004</v>
      </c>
      <c r="E551">
        <v>-4.7640000000000002</v>
      </c>
      <c r="F551">
        <v>168000</v>
      </c>
      <c r="G551">
        <v>0.439</v>
      </c>
      <c r="H551">
        <v>167</v>
      </c>
      <c r="I551">
        <v>0.68899999999999995</v>
      </c>
      <c r="J551">
        <v>1.2200000000000001E-2</v>
      </c>
      <c r="K551" t="s">
        <v>950</v>
      </c>
      <c r="L551">
        <v>4</v>
      </c>
      <c r="M551">
        <v>0.89100000000000001</v>
      </c>
      <c r="N551">
        <v>148.59899999999999</v>
      </c>
      <c r="O551">
        <v>0</v>
      </c>
      <c r="P551">
        <v>1</v>
      </c>
      <c r="Q551">
        <v>18</v>
      </c>
      <c r="R551" t="s">
        <v>292</v>
      </c>
      <c r="S551" t="s">
        <v>951</v>
      </c>
      <c r="T551">
        <f>I551*-0.5+M551*0.5</f>
        <v>0.10100000000000003</v>
      </c>
      <c r="U551">
        <f>I551*0.7+M551*-0.25+D551*-0.25</f>
        <v>0.12279999999999994</v>
      </c>
      <c r="V551">
        <f>J551*0.5+I551*-0.5</f>
        <v>-0.33839999999999998</v>
      </c>
      <c r="W551">
        <f>M551*0.5+G551*0.25+I551*0.25</f>
        <v>0.72750000000000004</v>
      </c>
    </row>
    <row r="552" spans="1:23" x14ac:dyDescent="0.2">
      <c r="A552">
        <v>3.9300000000000002E-2</v>
      </c>
      <c r="B552">
        <v>0</v>
      </c>
      <c r="C552">
        <v>4</v>
      </c>
      <c r="D552">
        <v>0.124</v>
      </c>
      <c r="E552">
        <v>-7.4370000000000003</v>
      </c>
      <c r="F552">
        <v>204213</v>
      </c>
      <c r="G552">
        <v>0.57699999999999996</v>
      </c>
      <c r="H552">
        <v>201</v>
      </c>
      <c r="I552">
        <v>0.48899999999999999</v>
      </c>
      <c r="J552">
        <v>1.34E-2</v>
      </c>
      <c r="K552" t="s">
        <v>1345</v>
      </c>
      <c r="L552">
        <v>51</v>
      </c>
      <c r="M552">
        <v>0.69099999999999995</v>
      </c>
      <c r="N552">
        <v>129.98400000000001</v>
      </c>
      <c r="O552" s="1">
        <v>3.4300000000000002E-6</v>
      </c>
      <c r="P552">
        <v>0</v>
      </c>
      <c r="Q552">
        <v>19</v>
      </c>
      <c r="R552" t="s">
        <v>1346</v>
      </c>
      <c r="S552" t="s">
        <v>1347</v>
      </c>
      <c r="T552">
        <f>I552*-0.5+M552*0.5</f>
        <v>0.10099999999999998</v>
      </c>
      <c r="U552">
        <f>I552*0.7+M552*-0.25+D552*-0.25</f>
        <v>0.13855000000000001</v>
      </c>
      <c r="V552">
        <f>J552*0.5+I552*-0.5</f>
        <v>-0.23779999999999998</v>
      </c>
      <c r="W552">
        <f>M552*0.5+G552*0.25+I552*0.25</f>
        <v>0.61199999999999999</v>
      </c>
    </row>
    <row r="553" spans="1:23" x14ac:dyDescent="0.2">
      <c r="A553">
        <v>3.9100000000000003E-2</v>
      </c>
      <c r="B553">
        <v>0</v>
      </c>
      <c r="C553">
        <v>4</v>
      </c>
      <c r="D553">
        <v>8.3099999999999993E-2</v>
      </c>
      <c r="E553">
        <v>-3.75</v>
      </c>
      <c r="F553">
        <v>294573</v>
      </c>
      <c r="G553">
        <v>0.69699999999999995</v>
      </c>
      <c r="H553">
        <v>258</v>
      </c>
      <c r="I553">
        <v>0.72</v>
      </c>
      <c r="J553">
        <v>3.0500000000000002E-3</v>
      </c>
      <c r="K553" t="s">
        <v>867</v>
      </c>
      <c r="L553">
        <v>33</v>
      </c>
      <c r="M553">
        <v>0.92100000000000004</v>
      </c>
      <c r="N553">
        <v>118.99</v>
      </c>
      <c r="O553" s="1">
        <v>3.65E-5</v>
      </c>
      <c r="P553">
        <v>1</v>
      </c>
      <c r="Q553">
        <v>2</v>
      </c>
      <c r="R553" t="s">
        <v>270</v>
      </c>
      <c r="S553" t="s">
        <v>868</v>
      </c>
      <c r="T553">
        <f>I553*-0.5+M553*0.5</f>
        <v>0.10050000000000003</v>
      </c>
      <c r="U553">
        <f>I553*0.7+M553*-0.25+D553*-0.25</f>
        <v>0.25297500000000001</v>
      </c>
      <c r="V553">
        <f>J553*0.5+I553*-0.5</f>
        <v>-0.35847499999999999</v>
      </c>
      <c r="W553">
        <f>M553*0.5+G553*0.25+I553*0.25</f>
        <v>0.81475000000000009</v>
      </c>
    </row>
    <row r="554" spans="1:23" x14ac:dyDescent="0.2">
      <c r="A554">
        <v>0.106</v>
      </c>
      <c r="B554">
        <v>2</v>
      </c>
      <c r="C554">
        <v>4</v>
      </c>
      <c r="D554">
        <v>0.316</v>
      </c>
      <c r="E554">
        <v>-6.9029999999999996</v>
      </c>
      <c r="F554">
        <v>234773</v>
      </c>
      <c r="G554">
        <v>0.83099999999999996</v>
      </c>
      <c r="H554">
        <v>232</v>
      </c>
      <c r="I554">
        <v>0.22600000000000001</v>
      </c>
      <c r="J554">
        <v>5.3100000000000001E-2</v>
      </c>
      <c r="K554" t="s">
        <v>1994</v>
      </c>
      <c r="L554">
        <v>41</v>
      </c>
      <c r="M554">
        <v>0.42699999999999999</v>
      </c>
      <c r="N554">
        <v>93.004000000000005</v>
      </c>
      <c r="O554">
        <v>0</v>
      </c>
      <c r="P554">
        <v>1</v>
      </c>
      <c r="Q554">
        <v>7</v>
      </c>
      <c r="R554" t="s">
        <v>1995</v>
      </c>
      <c r="S554" t="s">
        <v>1996</v>
      </c>
      <c r="T554">
        <f>I554*-0.5+M554*0.5</f>
        <v>0.10049999999999999</v>
      </c>
      <c r="U554">
        <f>I554*0.7+M554*-0.25+D554*-0.25</f>
        <v>-2.7549999999999991E-2</v>
      </c>
      <c r="V554">
        <f>J554*0.5+I554*-0.5</f>
        <v>-8.6449999999999999E-2</v>
      </c>
      <c r="W554">
        <f>M554*0.5+G554*0.25+I554*0.25</f>
        <v>0.47775000000000001</v>
      </c>
    </row>
    <row r="555" spans="1:23" x14ac:dyDescent="0.2">
      <c r="A555">
        <v>3.6999999999999998E-2</v>
      </c>
      <c r="B555">
        <v>0</v>
      </c>
      <c r="C555">
        <v>4</v>
      </c>
      <c r="D555">
        <v>0.61699999999999999</v>
      </c>
      <c r="E555">
        <v>-2.9940000000000002</v>
      </c>
      <c r="F555">
        <v>232827</v>
      </c>
      <c r="G555">
        <v>0.66100000000000003</v>
      </c>
      <c r="H555">
        <v>232</v>
      </c>
      <c r="I555">
        <v>0.77200000000000002</v>
      </c>
      <c r="J555">
        <v>0.11</v>
      </c>
      <c r="K555" t="s">
        <v>1174</v>
      </c>
      <c r="L555">
        <v>4</v>
      </c>
      <c r="M555">
        <v>0.97299999999999998</v>
      </c>
      <c r="N555">
        <v>108.03700000000001</v>
      </c>
      <c r="O555" s="1">
        <v>1.7399999999999999E-5</v>
      </c>
      <c r="P555">
        <v>0</v>
      </c>
      <c r="Q555">
        <v>1</v>
      </c>
      <c r="R555" t="s">
        <v>1005</v>
      </c>
      <c r="S555" t="s">
        <v>1175</v>
      </c>
      <c r="T555">
        <f>I555*-0.5+M555*0.5</f>
        <v>0.10049999999999998</v>
      </c>
      <c r="U555">
        <f>I555*0.7+M555*-0.25+D555*-0.25</f>
        <v>0.14290000000000003</v>
      </c>
      <c r="V555">
        <f>J555*0.5+I555*-0.5</f>
        <v>-0.33100000000000002</v>
      </c>
      <c r="W555">
        <f>M555*0.5+G555*0.25+I555*0.25</f>
        <v>0.84475000000000011</v>
      </c>
    </row>
    <row r="556" spans="1:23" x14ac:dyDescent="0.2">
      <c r="A556">
        <v>0.151</v>
      </c>
      <c r="B556">
        <v>7</v>
      </c>
      <c r="C556">
        <v>4</v>
      </c>
      <c r="D556">
        <v>0.22700000000000001</v>
      </c>
      <c r="E556">
        <v>-3.3620000000000001</v>
      </c>
      <c r="F556">
        <v>218133</v>
      </c>
      <c r="G556">
        <v>0.56200000000000006</v>
      </c>
      <c r="H556">
        <v>215</v>
      </c>
      <c r="I556">
        <v>0.72299999999999998</v>
      </c>
      <c r="J556">
        <v>2.9700000000000001E-2</v>
      </c>
      <c r="K556" t="s">
        <v>960</v>
      </c>
      <c r="L556">
        <v>57</v>
      </c>
      <c r="M556">
        <v>0.92300000000000004</v>
      </c>
      <c r="N556">
        <v>149.18799999999999</v>
      </c>
      <c r="O556">
        <v>0</v>
      </c>
      <c r="P556">
        <v>1</v>
      </c>
      <c r="Q556">
        <v>19</v>
      </c>
      <c r="R556" t="s">
        <v>961</v>
      </c>
      <c r="S556" t="s">
        <v>962</v>
      </c>
      <c r="T556">
        <f>I556*-0.5+M556*0.5</f>
        <v>0.10000000000000003</v>
      </c>
      <c r="U556">
        <f>I556*0.7+M556*-0.25+D556*-0.25</f>
        <v>0.21859999999999999</v>
      </c>
      <c r="V556">
        <f>J556*0.5+I556*-0.5</f>
        <v>-0.34665000000000001</v>
      </c>
      <c r="W556">
        <f>M556*0.5+G556*0.25+I556*0.25</f>
        <v>0.78275000000000006</v>
      </c>
    </row>
    <row r="557" spans="1:23" x14ac:dyDescent="0.2">
      <c r="A557">
        <v>5.7599999999999998E-2</v>
      </c>
      <c r="B557">
        <v>9</v>
      </c>
      <c r="C557">
        <v>4</v>
      </c>
      <c r="D557">
        <v>0.33100000000000002</v>
      </c>
      <c r="E557">
        <v>-6.4059999999999997</v>
      </c>
      <c r="F557">
        <v>199263</v>
      </c>
      <c r="G557">
        <v>0.753</v>
      </c>
      <c r="H557">
        <v>198</v>
      </c>
      <c r="I557">
        <v>0.59699999999999998</v>
      </c>
      <c r="J557">
        <v>3.78E-2</v>
      </c>
      <c r="K557" t="s">
        <v>1253</v>
      </c>
      <c r="L557">
        <v>55</v>
      </c>
      <c r="M557">
        <v>0.79600000000000004</v>
      </c>
      <c r="N557">
        <v>122.02500000000001</v>
      </c>
      <c r="O557">
        <v>0</v>
      </c>
      <c r="P557">
        <v>1</v>
      </c>
      <c r="Q557">
        <v>13</v>
      </c>
      <c r="R557" t="s">
        <v>1159</v>
      </c>
      <c r="S557" t="s">
        <v>1254</v>
      </c>
      <c r="T557">
        <f>I557*-0.5+M557*0.5</f>
        <v>9.9500000000000033E-2</v>
      </c>
      <c r="U557">
        <f>I557*0.7+M557*-0.25+D557*-0.25</f>
        <v>0.13614999999999994</v>
      </c>
      <c r="V557">
        <f>J557*0.5+I557*-0.5</f>
        <v>-0.27959999999999996</v>
      </c>
      <c r="W557">
        <f>M557*0.5+G557*0.25+I557*0.25</f>
        <v>0.73550000000000004</v>
      </c>
    </row>
    <row r="558" spans="1:23" x14ac:dyDescent="0.2">
      <c r="A558">
        <v>7.0300000000000001E-2</v>
      </c>
      <c r="B558">
        <v>7</v>
      </c>
      <c r="C558">
        <v>4</v>
      </c>
      <c r="D558">
        <v>0.37</v>
      </c>
      <c r="E558">
        <v>-4.5640000000000001</v>
      </c>
      <c r="F558">
        <v>206903</v>
      </c>
      <c r="G558">
        <v>0.71199999999999997</v>
      </c>
      <c r="H558">
        <v>206</v>
      </c>
      <c r="I558">
        <v>0.6</v>
      </c>
      <c r="J558">
        <v>4.4699999999999997E-2</v>
      </c>
      <c r="K558" t="s">
        <v>1270</v>
      </c>
      <c r="L558">
        <v>60</v>
      </c>
      <c r="M558">
        <v>0.79900000000000004</v>
      </c>
      <c r="N558">
        <v>83.995999999999995</v>
      </c>
      <c r="O558" s="1">
        <v>6.3999999999999997E-5</v>
      </c>
      <c r="P558">
        <v>0</v>
      </c>
      <c r="Q558">
        <v>16</v>
      </c>
      <c r="R558" t="s">
        <v>1271</v>
      </c>
      <c r="S558" t="s">
        <v>1272</v>
      </c>
      <c r="T558">
        <f>I558*-0.5+M558*0.5</f>
        <v>9.9500000000000033E-2</v>
      </c>
      <c r="U558">
        <f>I558*0.7+M558*-0.25+D558*-0.25</f>
        <v>0.12774999999999997</v>
      </c>
      <c r="V558">
        <f>J558*0.5+I558*-0.5</f>
        <v>-0.27765000000000001</v>
      </c>
      <c r="W558">
        <f>M558*0.5+G558*0.25+I558*0.25</f>
        <v>0.72750000000000004</v>
      </c>
    </row>
    <row r="559" spans="1:23" x14ac:dyDescent="0.2">
      <c r="A559">
        <v>3.9600000000000003E-2</v>
      </c>
      <c r="B559">
        <v>9</v>
      </c>
      <c r="C559">
        <v>4</v>
      </c>
      <c r="D559">
        <v>0.28899999999999998</v>
      </c>
      <c r="E559">
        <v>-3.544</v>
      </c>
      <c r="F559">
        <v>261747</v>
      </c>
      <c r="G559">
        <v>0.57799999999999996</v>
      </c>
      <c r="H559">
        <v>238</v>
      </c>
      <c r="I559">
        <v>0.70899999999999996</v>
      </c>
      <c r="J559">
        <v>1.9E-2</v>
      </c>
      <c r="K559" t="s">
        <v>958</v>
      </c>
      <c r="L559">
        <v>40</v>
      </c>
      <c r="M559">
        <v>0.90800000000000003</v>
      </c>
      <c r="N559">
        <v>79.986999999999995</v>
      </c>
      <c r="O559">
        <v>0</v>
      </c>
      <c r="P559">
        <v>1</v>
      </c>
      <c r="Q559">
        <v>8</v>
      </c>
      <c r="R559" t="s">
        <v>638</v>
      </c>
      <c r="S559" t="s">
        <v>959</v>
      </c>
      <c r="T559">
        <f>I559*-0.5+M559*0.5</f>
        <v>9.9500000000000033E-2</v>
      </c>
      <c r="U559">
        <f>I559*0.7+M559*-0.25+D559*-0.25</f>
        <v>0.19705</v>
      </c>
      <c r="V559">
        <f>J559*0.5+I559*-0.5</f>
        <v>-0.34499999999999997</v>
      </c>
      <c r="W559">
        <f>M559*0.5+G559*0.25+I559*0.25</f>
        <v>0.77575000000000005</v>
      </c>
    </row>
    <row r="560" spans="1:23" x14ac:dyDescent="0.2">
      <c r="A560">
        <v>4.7800000000000002E-2</v>
      </c>
      <c r="B560">
        <v>6</v>
      </c>
      <c r="C560">
        <v>4</v>
      </c>
      <c r="D560">
        <v>0.14199999999999999</v>
      </c>
      <c r="E560">
        <v>-2.6640000000000001</v>
      </c>
      <c r="F560">
        <v>247947</v>
      </c>
      <c r="G560">
        <v>0.59099999999999997</v>
      </c>
      <c r="H560">
        <v>245</v>
      </c>
      <c r="I560">
        <v>0.73599999999999999</v>
      </c>
      <c r="J560">
        <v>2.8400000000000002E-4</v>
      </c>
      <c r="K560" t="s">
        <v>843</v>
      </c>
      <c r="L560">
        <v>44</v>
      </c>
      <c r="M560">
        <v>0.93500000000000005</v>
      </c>
      <c r="N560">
        <v>140.04300000000001</v>
      </c>
      <c r="O560">
        <v>2.7799999999999998E-4</v>
      </c>
      <c r="P560">
        <v>1</v>
      </c>
      <c r="Q560">
        <v>15</v>
      </c>
      <c r="R560" t="s">
        <v>844</v>
      </c>
      <c r="S560" t="s">
        <v>845</v>
      </c>
      <c r="T560">
        <f>I560*-0.5+M560*0.5</f>
        <v>9.9500000000000033E-2</v>
      </c>
      <c r="U560">
        <f>I560*0.7+M560*-0.25+D560*-0.25</f>
        <v>0.24594999999999997</v>
      </c>
      <c r="V560">
        <f>J560*0.5+I560*-0.5</f>
        <v>-0.36785800000000002</v>
      </c>
      <c r="W560">
        <f>M560*0.5+G560*0.25+I560*0.25</f>
        <v>0.79925000000000002</v>
      </c>
    </row>
    <row r="561" spans="1:23" x14ac:dyDescent="0.2">
      <c r="A561">
        <v>2.7099999999999999E-2</v>
      </c>
      <c r="B561">
        <v>7</v>
      </c>
      <c r="C561">
        <v>4</v>
      </c>
      <c r="D561">
        <v>0.25</v>
      </c>
      <c r="E561">
        <v>-6.0060000000000002</v>
      </c>
      <c r="F561">
        <v>195347</v>
      </c>
      <c r="G561">
        <v>0.56799999999999995</v>
      </c>
      <c r="H561">
        <v>189</v>
      </c>
      <c r="I561">
        <v>0.40799999999999997</v>
      </c>
      <c r="J561">
        <v>0.252</v>
      </c>
      <c r="K561" t="s">
        <v>2295</v>
      </c>
      <c r="L561">
        <v>16</v>
      </c>
      <c r="M561">
        <v>0.60699999999999998</v>
      </c>
      <c r="N561">
        <v>99.691999999999993</v>
      </c>
      <c r="O561">
        <v>0</v>
      </c>
      <c r="P561">
        <v>1</v>
      </c>
      <c r="Q561">
        <v>13</v>
      </c>
      <c r="R561" t="s">
        <v>1715</v>
      </c>
      <c r="S561" t="s">
        <v>2296</v>
      </c>
      <c r="T561">
        <f>I561*-0.5+M561*0.5</f>
        <v>9.9500000000000005E-2</v>
      </c>
      <c r="U561">
        <f>I561*0.7+M561*-0.25+D561*-0.25</f>
        <v>7.1349999999999969E-2</v>
      </c>
      <c r="V561">
        <f>J561*0.5+I561*-0.5</f>
        <v>-7.7999999999999986E-2</v>
      </c>
      <c r="W561">
        <f>M561*0.5+G561*0.25+I561*0.25</f>
        <v>0.54749999999999999</v>
      </c>
    </row>
    <row r="562" spans="1:23" x14ac:dyDescent="0.2">
      <c r="A562">
        <v>3.5499999999999997E-2</v>
      </c>
      <c r="B562">
        <v>10</v>
      </c>
      <c r="C562">
        <v>4</v>
      </c>
      <c r="D562">
        <v>0.13900000000000001</v>
      </c>
      <c r="E562">
        <v>-4.5810000000000004</v>
      </c>
      <c r="F562">
        <v>227760</v>
      </c>
      <c r="G562">
        <v>0.71899999999999997</v>
      </c>
      <c r="H562">
        <v>227</v>
      </c>
      <c r="I562">
        <v>0.60599999999999998</v>
      </c>
      <c r="J562">
        <v>1.32E-2</v>
      </c>
      <c r="K562" t="s">
        <v>1153</v>
      </c>
      <c r="L562">
        <v>36</v>
      </c>
      <c r="M562">
        <v>0.80400000000000005</v>
      </c>
      <c r="N562">
        <v>119.999</v>
      </c>
      <c r="O562" s="1">
        <v>3.0199999999999999E-6</v>
      </c>
      <c r="P562">
        <v>1</v>
      </c>
      <c r="Q562">
        <v>1</v>
      </c>
      <c r="R562" t="s">
        <v>206</v>
      </c>
      <c r="S562" t="s">
        <v>1154</v>
      </c>
      <c r="T562">
        <f>I562*-0.5+M562*0.5</f>
        <v>9.9000000000000032E-2</v>
      </c>
      <c r="U562">
        <f>I562*0.7+M562*-0.25+D562*-0.25</f>
        <v>0.18844999999999995</v>
      </c>
      <c r="V562">
        <f>J562*0.5+I562*-0.5</f>
        <v>-0.2964</v>
      </c>
      <c r="W562">
        <f>M562*0.5+G562*0.25+I562*0.25</f>
        <v>0.73324999999999996</v>
      </c>
    </row>
    <row r="563" spans="1:23" x14ac:dyDescent="0.2">
      <c r="A563">
        <v>4.48E-2</v>
      </c>
      <c r="B563">
        <v>0</v>
      </c>
      <c r="C563">
        <v>4</v>
      </c>
      <c r="D563">
        <v>0.29699999999999999</v>
      </c>
      <c r="E563">
        <v>-5.7859999999999996</v>
      </c>
      <c r="F563">
        <v>225000</v>
      </c>
      <c r="G563">
        <v>0.754</v>
      </c>
      <c r="H563">
        <v>223</v>
      </c>
      <c r="I563">
        <v>0.73499999999999999</v>
      </c>
      <c r="J563">
        <v>1.9900000000000001E-2</v>
      </c>
      <c r="K563" t="s">
        <v>915</v>
      </c>
      <c r="L563">
        <v>44</v>
      </c>
      <c r="M563">
        <v>0.93300000000000005</v>
      </c>
      <c r="N563">
        <v>103.992</v>
      </c>
      <c r="O563">
        <v>0</v>
      </c>
      <c r="P563">
        <v>1</v>
      </c>
      <c r="Q563">
        <v>2</v>
      </c>
      <c r="R563" t="s">
        <v>916</v>
      </c>
      <c r="S563" t="s">
        <v>917</v>
      </c>
      <c r="T563">
        <f>I563*-0.5+M563*0.5</f>
        <v>9.9000000000000032E-2</v>
      </c>
      <c r="U563">
        <f>I563*0.7+M563*-0.25+D563*-0.25</f>
        <v>0.20699999999999996</v>
      </c>
      <c r="V563">
        <f>J563*0.5+I563*-0.5</f>
        <v>-0.35754999999999998</v>
      </c>
      <c r="W563">
        <f>M563*0.5+G563*0.25+I563*0.25</f>
        <v>0.83875</v>
      </c>
    </row>
    <row r="564" spans="1:23" x14ac:dyDescent="0.2">
      <c r="A564">
        <v>5.8200000000000002E-2</v>
      </c>
      <c r="B564">
        <v>7</v>
      </c>
      <c r="C564">
        <v>4</v>
      </c>
      <c r="D564">
        <v>0.39</v>
      </c>
      <c r="E564">
        <v>-11.471</v>
      </c>
      <c r="F564">
        <v>283748</v>
      </c>
      <c r="G564">
        <v>0.82199999999999995</v>
      </c>
      <c r="H564">
        <v>206</v>
      </c>
      <c r="I564">
        <v>0.77100000000000002</v>
      </c>
      <c r="J564">
        <v>0.25900000000000001</v>
      </c>
      <c r="K564" t="s">
        <v>1803</v>
      </c>
      <c r="L564">
        <v>4</v>
      </c>
      <c r="M564">
        <v>0.96899999999999997</v>
      </c>
      <c r="N564">
        <v>128.00700000000001</v>
      </c>
      <c r="O564">
        <v>1.6200000000000001E-4</v>
      </c>
      <c r="P564">
        <v>0</v>
      </c>
      <c r="Q564">
        <v>5</v>
      </c>
      <c r="R564" t="s">
        <v>1804</v>
      </c>
      <c r="S564" t="s">
        <v>1805</v>
      </c>
      <c r="T564">
        <f>I564*-0.5+M564*0.5</f>
        <v>9.8999999999999977E-2</v>
      </c>
      <c r="U564">
        <f>I564*0.7+M564*-0.25+D564*-0.25</f>
        <v>0.19994999999999999</v>
      </c>
      <c r="V564">
        <f>J564*0.5+I564*-0.5</f>
        <v>-0.25600000000000001</v>
      </c>
      <c r="W564">
        <f>M564*0.5+G564*0.25+I564*0.25</f>
        <v>0.88274999999999992</v>
      </c>
    </row>
    <row r="565" spans="1:23" x14ac:dyDescent="0.2">
      <c r="A565">
        <v>2.7199999999999998E-2</v>
      </c>
      <c r="B565">
        <v>2</v>
      </c>
      <c r="C565">
        <v>4</v>
      </c>
      <c r="D565">
        <v>0.23400000000000001</v>
      </c>
      <c r="E565">
        <v>-6.3449999999999998</v>
      </c>
      <c r="F565">
        <v>296200</v>
      </c>
      <c r="G565">
        <v>0.53200000000000003</v>
      </c>
      <c r="H565">
        <v>296</v>
      </c>
      <c r="I565">
        <v>0.63</v>
      </c>
      <c r="J565">
        <v>4.3499999999999997E-3</v>
      </c>
      <c r="K565" t="s">
        <v>1058</v>
      </c>
      <c r="L565">
        <v>8</v>
      </c>
      <c r="M565">
        <v>0.82699999999999996</v>
      </c>
      <c r="N565">
        <v>100.161</v>
      </c>
      <c r="O565">
        <v>3.1599999999999998E-4</v>
      </c>
      <c r="P565">
        <v>1</v>
      </c>
      <c r="Q565">
        <v>20</v>
      </c>
      <c r="R565" t="s">
        <v>232</v>
      </c>
      <c r="S565" t="s">
        <v>1059</v>
      </c>
      <c r="T565">
        <f>I565*-0.5+M565*0.5</f>
        <v>9.8499999999999976E-2</v>
      </c>
      <c r="U565">
        <f>I565*0.7+M565*-0.25+D565*-0.25</f>
        <v>0.17574999999999996</v>
      </c>
      <c r="V565">
        <f>J565*0.5+I565*-0.5</f>
        <v>-0.31282500000000002</v>
      </c>
      <c r="W565">
        <f>M565*0.5+G565*0.25+I565*0.25</f>
        <v>0.70399999999999996</v>
      </c>
    </row>
    <row r="566" spans="1:23" x14ac:dyDescent="0.2">
      <c r="A566">
        <v>0.29199999999999998</v>
      </c>
      <c r="B566">
        <v>1</v>
      </c>
      <c r="C566">
        <v>4</v>
      </c>
      <c r="D566">
        <v>8.5199999999999998E-2</v>
      </c>
      <c r="E566">
        <v>-7.02</v>
      </c>
      <c r="F566">
        <v>192427</v>
      </c>
      <c r="G566">
        <v>0.79500000000000004</v>
      </c>
      <c r="H566">
        <v>190</v>
      </c>
      <c r="I566">
        <v>0.70299999999999996</v>
      </c>
      <c r="J566">
        <v>7.6600000000000001E-2</v>
      </c>
      <c r="K566" t="s">
        <v>1201</v>
      </c>
      <c r="L566">
        <v>17</v>
      </c>
      <c r="M566">
        <v>0.89900000000000002</v>
      </c>
      <c r="N566">
        <v>115.062</v>
      </c>
      <c r="O566">
        <v>0</v>
      </c>
      <c r="P566">
        <v>1</v>
      </c>
      <c r="Q566">
        <v>5</v>
      </c>
      <c r="R566" t="s">
        <v>1202</v>
      </c>
      <c r="S566" t="s">
        <v>1203</v>
      </c>
      <c r="T566">
        <f>I566*-0.5+M566*0.5</f>
        <v>9.8000000000000032E-2</v>
      </c>
      <c r="U566">
        <f>I566*0.7+M566*-0.25+D566*-0.25</f>
        <v>0.24604999999999994</v>
      </c>
      <c r="V566">
        <f>J566*0.5+I566*-0.5</f>
        <v>-0.31319999999999998</v>
      </c>
      <c r="W566">
        <f>M566*0.5+G566*0.25+I566*0.25</f>
        <v>0.82399999999999995</v>
      </c>
    </row>
    <row r="567" spans="1:23" x14ac:dyDescent="0.2">
      <c r="A567">
        <v>3.95E-2</v>
      </c>
      <c r="B567">
        <v>0</v>
      </c>
      <c r="C567">
        <v>4</v>
      </c>
      <c r="D567">
        <v>4.7600000000000003E-2</v>
      </c>
      <c r="E567">
        <v>-5.7149999999999999</v>
      </c>
      <c r="F567">
        <v>249907</v>
      </c>
      <c r="G567">
        <v>0.66600000000000004</v>
      </c>
      <c r="H567">
        <v>247</v>
      </c>
      <c r="I567">
        <v>0.59099999999999997</v>
      </c>
      <c r="J567">
        <v>5.3199999999999997E-2</v>
      </c>
      <c r="K567" t="s">
        <v>1328</v>
      </c>
      <c r="L567">
        <v>46</v>
      </c>
      <c r="M567">
        <v>0.78600000000000003</v>
      </c>
      <c r="N567">
        <v>117.126</v>
      </c>
      <c r="O567">
        <v>0</v>
      </c>
      <c r="P567">
        <v>1</v>
      </c>
      <c r="Q567">
        <v>19</v>
      </c>
      <c r="R567" t="s">
        <v>646</v>
      </c>
      <c r="S567" t="s">
        <v>1329</v>
      </c>
      <c r="T567">
        <f>I567*-0.5+M567*0.5</f>
        <v>9.7500000000000031E-2</v>
      </c>
      <c r="U567">
        <f>I567*0.7+M567*-0.25+D567*-0.25</f>
        <v>0.20529999999999995</v>
      </c>
      <c r="V567">
        <f>J567*0.5+I567*-0.5</f>
        <v>-0.26889999999999997</v>
      </c>
      <c r="W567">
        <f>M567*0.5+G567*0.25+I567*0.25</f>
        <v>0.70724999999999993</v>
      </c>
    </row>
    <row r="568" spans="1:23" x14ac:dyDescent="0.2">
      <c r="A568">
        <v>7.9200000000000007E-2</v>
      </c>
      <c r="B568">
        <v>7</v>
      </c>
      <c r="C568">
        <v>4</v>
      </c>
      <c r="D568">
        <v>9.5600000000000004E-2</v>
      </c>
      <c r="E568">
        <v>-6.1420000000000003</v>
      </c>
      <c r="F568">
        <v>214480</v>
      </c>
      <c r="G568">
        <v>0.77700000000000002</v>
      </c>
      <c r="H568">
        <v>212</v>
      </c>
      <c r="I568">
        <v>0.432</v>
      </c>
      <c r="J568">
        <v>0.35599999999999998</v>
      </c>
      <c r="K568" t="s">
        <v>2502</v>
      </c>
      <c r="L568">
        <v>61</v>
      </c>
      <c r="M568">
        <v>0.627</v>
      </c>
      <c r="N568">
        <v>100.054</v>
      </c>
      <c r="O568">
        <v>0</v>
      </c>
      <c r="P568">
        <v>1</v>
      </c>
      <c r="Q568">
        <v>2</v>
      </c>
      <c r="R568" t="s">
        <v>2503</v>
      </c>
      <c r="S568" t="s">
        <v>2504</v>
      </c>
      <c r="T568">
        <f>I568*-0.5+M568*0.5</f>
        <v>9.7500000000000003E-2</v>
      </c>
      <c r="U568">
        <f>I568*0.7+M568*-0.25+D568*-0.25</f>
        <v>0.12175</v>
      </c>
      <c r="V568">
        <f>J568*0.5+I568*-0.5</f>
        <v>-3.8000000000000006E-2</v>
      </c>
      <c r="W568">
        <f>M568*0.5+G568*0.25+I568*0.25</f>
        <v>0.61575000000000002</v>
      </c>
    </row>
    <row r="569" spans="1:23" x14ac:dyDescent="0.2">
      <c r="A569">
        <v>5.5800000000000002E-2</v>
      </c>
      <c r="B569">
        <v>2</v>
      </c>
      <c r="C569">
        <v>4</v>
      </c>
      <c r="D569">
        <v>9.3100000000000002E-2</v>
      </c>
      <c r="E569">
        <v>-5.194</v>
      </c>
      <c r="F569">
        <v>307347</v>
      </c>
      <c r="G569">
        <v>0.5</v>
      </c>
      <c r="H569">
        <v>245</v>
      </c>
      <c r="I569">
        <v>0.52100000000000002</v>
      </c>
      <c r="J569">
        <v>9.3299999999999994E-2</v>
      </c>
      <c r="K569" t="s">
        <v>1690</v>
      </c>
      <c r="L569">
        <v>40</v>
      </c>
      <c r="M569">
        <v>0.71599999999999997</v>
      </c>
      <c r="N569">
        <v>127.066</v>
      </c>
      <c r="O569">
        <v>0</v>
      </c>
      <c r="P569">
        <v>1</v>
      </c>
      <c r="Q569">
        <v>11</v>
      </c>
      <c r="R569" t="s">
        <v>270</v>
      </c>
      <c r="S569" t="s">
        <v>1691</v>
      </c>
      <c r="T569">
        <f>I569*-0.5+M569*0.5</f>
        <v>9.7499999999999976E-2</v>
      </c>
      <c r="U569">
        <f>I569*0.7+M569*-0.25+D569*-0.25</f>
        <v>0.16242499999999999</v>
      </c>
      <c r="V569">
        <f>J569*0.5+I569*-0.5</f>
        <v>-0.21385000000000001</v>
      </c>
      <c r="W569">
        <f>M569*0.5+G569*0.25+I569*0.25</f>
        <v>0.61324999999999996</v>
      </c>
    </row>
    <row r="570" spans="1:23" x14ac:dyDescent="0.2">
      <c r="A570">
        <v>0.105</v>
      </c>
      <c r="B570">
        <v>6</v>
      </c>
      <c r="C570">
        <v>4</v>
      </c>
      <c r="D570">
        <v>0.04</v>
      </c>
      <c r="E570">
        <v>-6.0190000000000001</v>
      </c>
      <c r="F570">
        <v>224147</v>
      </c>
      <c r="G570">
        <v>0.56699999999999995</v>
      </c>
      <c r="H570">
        <v>219</v>
      </c>
      <c r="I570">
        <v>0.55200000000000005</v>
      </c>
      <c r="J570">
        <v>0.31</v>
      </c>
      <c r="K570" t="s">
        <v>2262</v>
      </c>
      <c r="L570">
        <v>19</v>
      </c>
      <c r="M570">
        <v>0.747</v>
      </c>
      <c r="N570">
        <v>89.036000000000001</v>
      </c>
      <c r="O570">
        <v>0</v>
      </c>
      <c r="P570">
        <v>0</v>
      </c>
      <c r="Q570">
        <v>8</v>
      </c>
      <c r="R570" t="s">
        <v>726</v>
      </c>
      <c r="S570" t="s">
        <v>2263</v>
      </c>
      <c r="T570">
        <f>I570*-0.5+M570*0.5</f>
        <v>9.7499999999999976E-2</v>
      </c>
      <c r="U570">
        <f>I570*0.7+M570*-0.25+D570*-0.25</f>
        <v>0.18965000000000001</v>
      </c>
      <c r="V570">
        <f>J570*0.5+I570*-0.5</f>
        <v>-0.12100000000000002</v>
      </c>
      <c r="W570">
        <f>M570*0.5+G570*0.25+I570*0.25</f>
        <v>0.65325</v>
      </c>
    </row>
    <row r="571" spans="1:23" x14ac:dyDescent="0.2">
      <c r="A571">
        <v>4.7500000000000001E-2</v>
      </c>
      <c r="B571">
        <v>7</v>
      </c>
      <c r="C571">
        <v>4</v>
      </c>
      <c r="D571">
        <v>0.70399999999999996</v>
      </c>
      <c r="E571">
        <v>-4.63</v>
      </c>
      <c r="F571">
        <v>213293</v>
      </c>
      <c r="G571">
        <v>0.76800000000000002</v>
      </c>
      <c r="H571">
        <v>212</v>
      </c>
      <c r="I571">
        <v>0.625</v>
      </c>
      <c r="J571">
        <v>0.17899999999999999</v>
      </c>
      <c r="K571" t="s">
        <v>1801</v>
      </c>
      <c r="L571">
        <v>35</v>
      </c>
      <c r="M571">
        <v>0.82</v>
      </c>
      <c r="N571">
        <v>129.96899999999999</v>
      </c>
      <c r="O571">
        <v>0</v>
      </c>
      <c r="P571">
        <v>0</v>
      </c>
      <c r="Q571">
        <v>7</v>
      </c>
      <c r="R571" t="s">
        <v>769</v>
      </c>
      <c r="S571" t="s">
        <v>1802</v>
      </c>
      <c r="T571">
        <f>I571*-0.5+M571*0.5</f>
        <v>9.7499999999999976E-2</v>
      </c>
      <c r="U571">
        <f>I571*0.7+M571*-0.25+D571*-0.25</f>
        <v>5.6500000000000022E-2</v>
      </c>
      <c r="V571">
        <f>J571*0.5+I571*-0.5</f>
        <v>-0.223</v>
      </c>
      <c r="W571">
        <f>M571*0.5+G571*0.25+I571*0.25</f>
        <v>0.75824999999999998</v>
      </c>
    </row>
    <row r="572" spans="1:23" x14ac:dyDescent="0.2">
      <c r="A572">
        <v>0.33100000000000002</v>
      </c>
      <c r="B572">
        <v>6</v>
      </c>
      <c r="C572">
        <v>4</v>
      </c>
      <c r="D572">
        <v>0.106</v>
      </c>
      <c r="E572">
        <v>-4.9589999999999996</v>
      </c>
      <c r="F572">
        <v>251373</v>
      </c>
      <c r="G572">
        <v>0.58199999999999996</v>
      </c>
      <c r="H572">
        <v>237</v>
      </c>
      <c r="I572">
        <v>0.66</v>
      </c>
      <c r="J572">
        <v>4.3799999999999999E-2</v>
      </c>
      <c r="K572" t="s">
        <v>1176</v>
      </c>
      <c r="L572">
        <v>13</v>
      </c>
      <c r="M572">
        <v>0.85499999999999998</v>
      </c>
      <c r="N572">
        <v>104.96299999999999</v>
      </c>
      <c r="O572">
        <v>0</v>
      </c>
      <c r="P572">
        <v>1</v>
      </c>
      <c r="Q572">
        <v>6</v>
      </c>
      <c r="R572" t="s">
        <v>1177</v>
      </c>
      <c r="S572" t="s">
        <v>1178</v>
      </c>
      <c r="T572">
        <f>I572*-0.5+M572*0.5</f>
        <v>9.7499999999999976E-2</v>
      </c>
      <c r="U572">
        <f>I572*0.7+M572*-0.25+D572*-0.25</f>
        <v>0.22174999999999997</v>
      </c>
      <c r="V572">
        <f>J572*0.5+I572*-0.5</f>
        <v>-0.30810000000000004</v>
      </c>
      <c r="W572">
        <f>M572*0.5+G572*0.25+I572*0.25</f>
        <v>0.73799999999999999</v>
      </c>
    </row>
    <row r="573" spans="1:23" x14ac:dyDescent="0.2">
      <c r="A573">
        <v>3.1899999999999998E-2</v>
      </c>
      <c r="B573">
        <v>6</v>
      </c>
      <c r="C573">
        <v>4</v>
      </c>
      <c r="D573">
        <v>0.14699999999999999</v>
      </c>
      <c r="E573">
        <v>-8.0449999999999999</v>
      </c>
      <c r="F573">
        <v>220000</v>
      </c>
      <c r="G573">
        <v>0.61399999999999999</v>
      </c>
      <c r="H573">
        <v>214</v>
      </c>
      <c r="I573">
        <v>0.78400000000000003</v>
      </c>
      <c r="J573">
        <v>7.4499999999999997E-2</v>
      </c>
      <c r="K573" t="s">
        <v>1038</v>
      </c>
      <c r="L573">
        <v>6</v>
      </c>
      <c r="M573">
        <v>0.97899999999999998</v>
      </c>
      <c r="N573">
        <v>131.983</v>
      </c>
      <c r="O573">
        <v>4.7100000000000001E-4</v>
      </c>
      <c r="P573">
        <v>1</v>
      </c>
      <c r="Q573">
        <v>4</v>
      </c>
      <c r="R573" t="s">
        <v>1039</v>
      </c>
      <c r="S573" t="s">
        <v>1040</v>
      </c>
      <c r="T573">
        <f>I573*-0.5+M573*0.5</f>
        <v>9.7499999999999976E-2</v>
      </c>
      <c r="U573">
        <f>I573*0.7+M573*-0.25+D573*-0.25</f>
        <v>0.26729999999999993</v>
      </c>
      <c r="V573">
        <f>J573*0.5+I573*-0.5</f>
        <v>-0.35475000000000001</v>
      </c>
      <c r="W573">
        <f>M573*0.5+G573*0.25+I573*0.25</f>
        <v>0.83899999999999997</v>
      </c>
    </row>
    <row r="574" spans="1:23" x14ac:dyDescent="0.2">
      <c r="A574">
        <v>2.5999999999999999E-2</v>
      </c>
      <c r="B574">
        <v>7</v>
      </c>
      <c r="C574">
        <v>4</v>
      </c>
      <c r="D574">
        <v>0.17199999999999999</v>
      </c>
      <c r="E574">
        <v>-9.1289999999999996</v>
      </c>
      <c r="F574">
        <v>264067</v>
      </c>
      <c r="G574">
        <v>0.36</v>
      </c>
      <c r="H574">
        <v>261</v>
      </c>
      <c r="I574">
        <v>0.311</v>
      </c>
      <c r="J574">
        <v>6.2600000000000003E-2</v>
      </c>
      <c r="K574" t="s">
        <v>1937</v>
      </c>
      <c r="L574">
        <v>1</v>
      </c>
      <c r="M574">
        <v>0.505</v>
      </c>
      <c r="N574">
        <v>74.807000000000002</v>
      </c>
      <c r="O574" s="1">
        <v>9.2200000000000005E-5</v>
      </c>
      <c r="P574">
        <v>1</v>
      </c>
      <c r="Q574">
        <v>14</v>
      </c>
      <c r="R574" t="s">
        <v>1938</v>
      </c>
      <c r="S574" t="s">
        <v>1939</v>
      </c>
      <c r="T574">
        <f>I574*-0.5+M574*0.5</f>
        <v>9.7000000000000003E-2</v>
      </c>
      <c r="U574">
        <f>I574*0.7+M574*-0.25+D574*-0.25</f>
        <v>4.8449999999999979E-2</v>
      </c>
      <c r="V574">
        <f>J574*0.5+I574*-0.5</f>
        <v>-0.1242</v>
      </c>
      <c r="W574">
        <f>M574*0.5+G574*0.25+I574*0.25</f>
        <v>0.42025000000000001</v>
      </c>
    </row>
    <row r="575" spans="1:23" x14ac:dyDescent="0.2">
      <c r="A575">
        <v>3.5000000000000003E-2</v>
      </c>
      <c r="B575">
        <v>1</v>
      </c>
      <c r="C575">
        <v>4</v>
      </c>
      <c r="D575">
        <v>9.6699999999999994E-2</v>
      </c>
      <c r="E575">
        <v>-5.1619999999999999</v>
      </c>
      <c r="F575">
        <v>203453</v>
      </c>
      <c r="G575">
        <v>0.75600000000000001</v>
      </c>
      <c r="H575">
        <v>201</v>
      </c>
      <c r="I575">
        <v>0.51100000000000001</v>
      </c>
      <c r="J575">
        <v>7.0099999999999997E-3</v>
      </c>
      <c r="K575" t="s">
        <v>1320</v>
      </c>
      <c r="L575">
        <v>54</v>
      </c>
      <c r="M575">
        <v>0.70399999999999996</v>
      </c>
      <c r="N575">
        <v>99.971000000000004</v>
      </c>
      <c r="O575">
        <v>5.5199999999999997E-4</v>
      </c>
      <c r="P575">
        <v>0</v>
      </c>
      <c r="Q575">
        <v>12</v>
      </c>
      <c r="R575" t="s">
        <v>1321</v>
      </c>
      <c r="S575" t="s">
        <v>1322</v>
      </c>
      <c r="T575">
        <f>I575*-0.5+M575*0.5</f>
        <v>9.6499999999999975E-2</v>
      </c>
      <c r="U575">
        <f>I575*0.7+M575*-0.25+D575*-0.25</f>
        <v>0.15752499999999997</v>
      </c>
      <c r="V575">
        <f>J575*0.5+I575*-0.5</f>
        <v>-0.25199500000000002</v>
      </c>
      <c r="W575">
        <f>M575*0.5+G575*0.25+I575*0.25</f>
        <v>0.66874999999999996</v>
      </c>
    </row>
    <row r="576" spans="1:23" x14ac:dyDescent="0.2">
      <c r="A576">
        <v>9.0499999999999997E-2</v>
      </c>
      <c r="B576">
        <v>7</v>
      </c>
      <c r="C576">
        <v>4</v>
      </c>
      <c r="D576">
        <v>0.16500000000000001</v>
      </c>
      <c r="E576">
        <v>-4.1849999999999996</v>
      </c>
      <c r="F576">
        <v>234373</v>
      </c>
      <c r="G576">
        <v>0.81799999999999995</v>
      </c>
      <c r="H576">
        <v>234</v>
      </c>
      <c r="I576">
        <v>0.65600000000000003</v>
      </c>
      <c r="J576">
        <v>0.16400000000000001</v>
      </c>
      <c r="K576" t="s">
        <v>1709</v>
      </c>
      <c r="L576">
        <v>4</v>
      </c>
      <c r="M576">
        <v>0.84899999999999998</v>
      </c>
      <c r="N576">
        <v>100.503</v>
      </c>
      <c r="O576" s="1">
        <v>4.3600000000000003E-5</v>
      </c>
      <c r="P576">
        <v>1</v>
      </c>
      <c r="Q576">
        <v>4</v>
      </c>
      <c r="R576" t="s">
        <v>703</v>
      </c>
      <c r="S576" t="s">
        <v>1710</v>
      </c>
      <c r="T576">
        <f>I576*-0.5+M576*0.5</f>
        <v>9.6499999999999975E-2</v>
      </c>
      <c r="U576">
        <f>I576*0.7+M576*-0.25+D576*-0.25</f>
        <v>0.20569999999999999</v>
      </c>
      <c r="V576">
        <f>J576*0.5+I576*-0.5</f>
        <v>-0.246</v>
      </c>
      <c r="W576">
        <f>M576*0.5+G576*0.25+I576*0.25</f>
        <v>0.79300000000000004</v>
      </c>
    </row>
    <row r="577" spans="1:23" x14ac:dyDescent="0.2">
      <c r="A577">
        <v>5.0200000000000002E-2</v>
      </c>
      <c r="B577">
        <v>1</v>
      </c>
      <c r="C577">
        <v>4</v>
      </c>
      <c r="D577">
        <v>0.10100000000000001</v>
      </c>
      <c r="E577">
        <v>-6.0990000000000002</v>
      </c>
      <c r="F577">
        <v>171333</v>
      </c>
      <c r="G577">
        <v>0.71099999999999997</v>
      </c>
      <c r="H577">
        <v>170</v>
      </c>
      <c r="I577">
        <v>0.36199999999999999</v>
      </c>
      <c r="J577">
        <v>2.69E-2</v>
      </c>
      <c r="K577" t="s">
        <v>1759</v>
      </c>
      <c r="L577">
        <v>43</v>
      </c>
      <c r="M577">
        <v>0.55400000000000005</v>
      </c>
      <c r="N577">
        <v>96.971999999999994</v>
      </c>
      <c r="O577">
        <v>7.7600000000000004E-3</v>
      </c>
      <c r="P577">
        <v>1</v>
      </c>
      <c r="Q577">
        <v>6</v>
      </c>
      <c r="R577" t="s">
        <v>839</v>
      </c>
      <c r="S577" t="s">
        <v>1760</v>
      </c>
      <c r="T577">
        <f>I577*-0.5+M577*0.5</f>
        <v>9.600000000000003E-2</v>
      </c>
      <c r="U577">
        <f>I577*0.7+M577*-0.25+D577*-0.25</f>
        <v>8.9649999999999952E-2</v>
      </c>
      <c r="V577">
        <f>J577*0.5+I577*-0.5</f>
        <v>-0.16755</v>
      </c>
      <c r="W577">
        <f>M577*0.5+G577*0.25+I577*0.25</f>
        <v>0.54525000000000001</v>
      </c>
    </row>
    <row r="578" spans="1:23" x14ac:dyDescent="0.2">
      <c r="A578">
        <v>2.3300000000000001E-2</v>
      </c>
      <c r="B578">
        <v>8</v>
      </c>
      <c r="C578">
        <v>4</v>
      </c>
      <c r="D578">
        <v>0.111</v>
      </c>
      <c r="E578">
        <v>-7.056</v>
      </c>
      <c r="F578">
        <v>238093</v>
      </c>
      <c r="G578">
        <v>0.63800000000000001</v>
      </c>
      <c r="H578">
        <v>240</v>
      </c>
      <c r="I578">
        <v>0.47399999999999998</v>
      </c>
      <c r="J578">
        <v>9.1299999999999992E-3</v>
      </c>
      <c r="K578" t="s">
        <v>1439</v>
      </c>
      <c r="L578">
        <v>3</v>
      </c>
      <c r="M578">
        <v>0.66600000000000004</v>
      </c>
      <c r="N578">
        <v>100.01</v>
      </c>
      <c r="O578">
        <v>8.43E-4</v>
      </c>
      <c r="P578">
        <v>0</v>
      </c>
      <c r="Q578">
        <v>15</v>
      </c>
      <c r="R578" t="s">
        <v>1440</v>
      </c>
      <c r="S578" t="s">
        <v>1441</v>
      </c>
      <c r="T578">
        <f>I578*-0.5+M578*0.5</f>
        <v>9.600000000000003E-2</v>
      </c>
      <c r="U578">
        <f>I578*0.7+M578*-0.25+D578*-0.25</f>
        <v>0.13754999999999998</v>
      </c>
      <c r="V578">
        <f>J578*0.5+I578*-0.5</f>
        <v>-0.232435</v>
      </c>
      <c r="W578">
        <f>M578*0.5+G578*0.25+I578*0.25</f>
        <v>0.61099999999999999</v>
      </c>
    </row>
    <row r="579" spans="1:23" x14ac:dyDescent="0.2">
      <c r="A579">
        <v>4.3999999999999997E-2</v>
      </c>
      <c r="B579">
        <v>7</v>
      </c>
      <c r="C579">
        <v>4</v>
      </c>
      <c r="D579">
        <v>0.28199999999999997</v>
      </c>
      <c r="E579">
        <v>-2.9540000000000002</v>
      </c>
      <c r="F579">
        <v>255587</v>
      </c>
      <c r="G579">
        <v>0.59699999999999998</v>
      </c>
      <c r="H579">
        <v>229</v>
      </c>
      <c r="I579">
        <v>0.72699999999999998</v>
      </c>
      <c r="J579">
        <v>1.45E-4</v>
      </c>
      <c r="K579" t="s">
        <v>891</v>
      </c>
      <c r="L579">
        <v>44</v>
      </c>
      <c r="M579">
        <v>0.91900000000000004</v>
      </c>
      <c r="N579">
        <v>113.98699999999999</v>
      </c>
      <c r="O579">
        <v>0</v>
      </c>
      <c r="P579">
        <v>1</v>
      </c>
      <c r="Q579">
        <v>1</v>
      </c>
      <c r="R579" t="s">
        <v>243</v>
      </c>
      <c r="S579" t="s">
        <v>892</v>
      </c>
      <c r="T579">
        <f>I579*-0.5+M579*0.5</f>
        <v>9.600000000000003E-2</v>
      </c>
      <c r="U579">
        <f>I579*0.7+M579*-0.25+D579*-0.25</f>
        <v>0.20864999999999989</v>
      </c>
      <c r="V579">
        <f>J579*0.5+I579*-0.5</f>
        <v>-0.36342750000000001</v>
      </c>
      <c r="W579">
        <f>M579*0.5+G579*0.25+I579*0.25</f>
        <v>0.79049999999999998</v>
      </c>
    </row>
    <row r="580" spans="1:23" x14ac:dyDescent="0.2">
      <c r="A580">
        <v>0.38200000000000001</v>
      </c>
      <c r="B580">
        <v>7</v>
      </c>
      <c r="C580">
        <v>4</v>
      </c>
      <c r="D580">
        <v>0.16700000000000001</v>
      </c>
      <c r="E580">
        <v>-4.6369999999999996</v>
      </c>
      <c r="F580">
        <v>227853</v>
      </c>
      <c r="G580">
        <v>0.44700000000000001</v>
      </c>
      <c r="H580">
        <v>225</v>
      </c>
      <c r="I580">
        <v>0.503</v>
      </c>
      <c r="J580">
        <v>2.93E-2</v>
      </c>
      <c r="K580" t="s">
        <v>1458</v>
      </c>
      <c r="L580">
        <v>24</v>
      </c>
      <c r="M580">
        <v>0.69399999999999995</v>
      </c>
      <c r="N580">
        <v>175.86799999999999</v>
      </c>
      <c r="O580" s="1">
        <v>5.4600000000000002E-6</v>
      </c>
      <c r="P580">
        <v>0</v>
      </c>
      <c r="Q580">
        <v>4</v>
      </c>
      <c r="R580" t="s">
        <v>1459</v>
      </c>
      <c r="S580" t="s">
        <v>1460</v>
      </c>
      <c r="T580">
        <f>I580*-0.5+M580*0.5</f>
        <v>9.5499999999999974E-2</v>
      </c>
      <c r="U580">
        <f>I580*0.7+M580*-0.25+D580*-0.25</f>
        <v>0.13684999999999997</v>
      </c>
      <c r="V580">
        <f>J580*0.5+I580*-0.5</f>
        <v>-0.23685</v>
      </c>
      <c r="W580">
        <f>M580*0.5+G580*0.25+I580*0.25</f>
        <v>0.58450000000000002</v>
      </c>
    </row>
    <row r="581" spans="1:23" x14ac:dyDescent="0.2">
      <c r="A581">
        <v>0.17699999999999999</v>
      </c>
      <c r="B581">
        <v>5</v>
      </c>
      <c r="C581">
        <v>4</v>
      </c>
      <c r="D581">
        <v>0.247</v>
      </c>
      <c r="E581">
        <v>-3.8820000000000001</v>
      </c>
      <c r="F581">
        <v>223053</v>
      </c>
      <c r="G581">
        <v>0.64600000000000002</v>
      </c>
      <c r="H581">
        <v>197</v>
      </c>
      <c r="I581">
        <v>0.65200000000000002</v>
      </c>
      <c r="J581">
        <v>3.1399999999999997E-2</v>
      </c>
      <c r="K581" t="s">
        <v>1166</v>
      </c>
      <c r="L581">
        <v>39</v>
      </c>
      <c r="M581">
        <v>0.84299999999999997</v>
      </c>
      <c r="N581">
        <v>174.904</v>
      </c>
      <c r="O581" s="1">
        <v>2.39E-6</v>
      </c>
      <c r="P581">
        <v>1</v>
      </c>
      <c r="Q581">
        <v>12</v>
      </c>
      <c r="R581" t="s">
        <v>1167</v>
      </c>
      <c r="S581" t="s">
        <v>1168</v>
      </c>
      <c r="T581">
        <f>I581*-0.5+M581*0.5</f>
        <v>9.5499999999999974E-2</v>
      </c>
      <c r="U581">
        <f>I581*0.7+M581*-0.25+D581*-0.25</f>
        <v>0.18389999999999998</v>
      </c>
      <c r="V581">
        <f>J581*0.5+I581*-0.5</f>
        <v>-0.31030000000000002</v>
      </c>
      <c r="W581">
        <f>M581*0.5+G581*0.25+I581*0.25</f>
        <v>0.746</v>
      </c>
    </row>
    <row r="582" spans="1:23" x14ac:dyDescent="0.2">
      <c r="A582">
        <v>4.07E-2</v>
      </c>
      <c r="B582">
        <v>7</v>
      </c>
      <c r="C582">
        <v>4</v>
      </c>
      <c r="D582">
        <v>0.14499999999999999</v>
      </c>
      <c r="E582">
        <v>-7.1020000000000003</v>
      </c>
      <c r="F582">
        <v>197253</v>
      </c>
      <c r="G582">
        <v>0.39100000000000001</v>
      </c>
      <c r="H582">
        <v>193</v>
      </c>
      <c r="I582">
        <v>0.44600000000000001</v>
      </c>
      <c r="J582">
        <v>6.5799999999999999E-3</v>
      </c>
      <c r="K582" t="s">
        <v>1514</v>
      </c>
      <c r="L582">
        <v>56</v>
      </c>
      <c r="M582">
        <v>0.63600000000000001</v>
      </c>
      <c r="N582">
        <v>200.167</v>
      </c>
      <c r="O582">
        <v>1.2400000000000001E-4</v>
      </c>
      <c r="P582">
        <v>1</v>
      </c>
      <c r="Q582">
        <v>18</v>
      </c>
      <c r="R582" t="s">
        <v>425</v>
      </c>
      <c r="S582" t="s">
        <v>1515</v>
      </c>
      <c r="T582">
        <f>I582*-0.5+M582*0.5</f>
        <v>9.5000000000000001E-2</v>
      </c>
      <c r="U582">
        <f>I582*0.7+M582*-0.25+D582*-0.25</f>
        <v>0.11694999999999997</v>
      </c>
      <c r="V582">
        <f>J582*0.5+I582*-0.5</f>
        <v>-0.21971000000000002</v>
      </c>
      <c r="W582">
        <f>M582*0.5+G582*0.25+I582*0.25</f>
        <v>0.52725</v>
      </c>
    </row>
    <row r="583" spans="1:23" x14ac:dyDescent="0.2">
      <c r="A583">
        <v>3.5700000000000003E-2</v>
      </c>
      <c r="B583">
        <v>11</v>
      </c>
      <c r="C583">
        <v>4</v>
      </c>
      <c r="D583">
        <v>0.30099999999999999</v>
      </c>
      <c r="E583">
        <v>-6.0469999999999997</v>
      </c>
      <c r="F583">
        <v>195227</v>
      </c>
      <c r="G583">
        <v>0.68899999999999995</v>
      </c>
      <c r="H583">
        <v>192</v>
      </c>
      <c r="I583">
        <v>0.626</v>
      </c>
      <c r="J583">
        <v>1.1800000000000001E-3</v>
      </c>
      <c r="K583" t="s">
        <v>1113</v>
      </c>
      <c r="L583">
        <v>56</v>
      </c>
      <c r="M583">
        <v>0.81599999999999995</v>
      </c>
      <c r="N583">
        <v>96.998999999999995</v>
      </c>
      <c r="O583" s="1">
        <v>3.9500000000000003E-6</v>
      </c>
      <c r="P583">
        <v>0</v>
      </c>
      <c r="Q583">
        <v>19</v>
      </c>
      <c r="R583" t="s">
        <v>1114</v>
      </c>
      <c r="S583" t="s">
        <v>1115</v>
      </c>
      <c r="T583">
        <f>I583*-0.5+M583*0.5</f>
        <v>9.4999999999999973E-2</v>
      </c>
      <c r="U583">
        <f>I583*0.7+M583*-0.25+D583*-0.25</f>
        <v>0.15894999999999998</v>
      </c>
      <c r="V583">
        <f>J583*0.5+I583*-0.5</f>
        <v>-0.31241000000000002</v>
      </c>
      <c r="W583">
        <f>M583*0.5+G583*0.25+I583*0.25</f>
        <v>0.7367499999999999</v>
      </c>
    </row>
    <row r="584" spans="1:23" x14ac:dyDescent="0.2">
      <c r="A584">
        <v>0.187</v>
      </c>
      <c r="B584">
        <v>2</v>
      </c>
      <c r="C584">
        <v>4</v>
      </c>
      <c r="D584">
        <v>7.1999999999999995E-2</v>
      </c>
      <c r="E584">
        <v>-3.9820000000000002</v>
      </c>
      <c r="F584">
        <v>290200</v>
      </c>
      <c r="G584">
        <v>0.78500000000000003</v>
      </c>
      <c r="H584">
        <v>259</v>
      </c>
      <c r="I584">
        <v>0.59399999999999997</v>
      </c>
      <c r="J584">
        <v>8.77E-3</v>
      </c>
      <c r="K584" t="s">
        <v>1195</v>
      </c>
      <c r="L584">
        <v>12</v>
      </c>
      <c r="M584">
        <v>0.78300000000000003</v>
      </c>
      <c r="N584">
        <v>98.132000000000005</v>
      </c>
      <c r="O584">
        <v>4.5399999999999998E-3</v>
      </c>
      <c r="P584">
        <v>1</v>
      </c>
      <c r="Q584">
        <v>9</v>
      </c>
      <c r="R584" t="s">
        <v>1196</v>
      </c>
      <c r="S584" t="s">
        <v>1197</v>
      </c>
      <c r="T584">
        <f>I584*-0.5+M584*0.5</f>
        <v>9.4500000000000028E-2</v>
      </c>
      <c r="U584">
        <f>I584*0.7+M584*-0.25+D584*-0.25</f>
        <v>0.20204999999999995</v>
      </c>
      <c r="V584">
        <f>J584*0.5+I584*-0.5</f>
        <v>-0.29261499999999996</v>
      </c>
      <c r="W584">
        <f>M584*0.5+G584*0.25+I584*0.25</f>
        <v>0.73624999999999996</v>
      </c>
    </row>
    <row r="585" spans="1:23" x14ac:dyDescent="0.2">
      <c r="A585">
        <v>6.5199999999999994E-2</v>
      </c>
      <c r="B585">
        <v>8</v>
      </c>
      <c r="C585">
        <v>4</v>
      </c>
      <c r="D585">
        <v>0.38600000000000001</v>
      </c>
      <c r="E585">
        <v>-3.8580000000000001</v>
      </c>
      <c r="F585">
        <v>177280</v>
      </c>
      <c r="G585">
        <v>0.47799999999999998</v>
      </c>
      <c r="H585">
        <v>177</v>
      </c>
      <c r="I585">
        <v>0.72699999999999998</v>
      </c>
      <c r="J585">
        <v>5.8399999999999997E-3</v>
      </c>
      <c r="K585" t="s">
        <v>940</v>
      </c>
      <c r="L585">
        <v>43</v>
      </c>
      <c r="M585">
        <v>0.91500000000000004</v>
      </c>
      <c r="N585">
        <v>154.95500000000001</v>
      </c>
      <c r="O585">
        <v>0</v>
      </c>
      <c r="P585">
        <v>1</v>
      </c>
      <c r="Q585">
        <v>15</v>
      </c>
      <c r="R585" t="s">
        <v>941</v>
      </c>
      <c r="S585" t="s">
        <v>942</v>
      </c>
      <c r="T585">
        <f>I585*-0.5+M585*0.5</f>
        <v>9.4000000000000028E-2</v>
      </c>
      <c r="U585">
        <f>I585*0.7+M585*-0.25+D585*-0.25</f>
        <v>0.1836499999999999</v>
      </c>
      <c r="V585">
        <f>J585*0.5+I585*-0.5</f>
        <v>-0.36058000000000001</v>
      </c>
      <c r="W585">
        <f>M585*0.5+G585*0.25+I585*0.25</f>
        <v>0.75874999999999992</v>
      </c>
    </row>
    <row r="586" spans="1:23" x14ac:dyDescent="0.2">
      <c r="A586">
        <v>2.7799999999999998E-2</v>
      </c>
      <c r="B586">
        <v>2</v>
      </c>
      <c r="C586">
        <v>3</v>
      </c>
      <c r="D586">
        <v>8.8099999999999998E-2</v>
      </c>
      <c r="E586">
        <v>-7.7149999999999999</v>
      </c>
      <c r="F586">
        <v>279827</v>
      </c>
      <c r="G586">
        <v>0.38600000000000001</v>
      </c>
      <c r="H586">
        <v>247</v>
      </c>
      <c r="I586">
        <v>0.26400000000000001</v>
      </c>
      <c r="J586">
        <v>0.41699999999999998</v>
      </c>
      <c r="K586" t="s">
        <v>2787</v>
      </c>
      <c r="L586">
        <v>19</v>
      </c>
      <c r="M586">
        <v>0.45200000000000001</v>
      </c>
      <c r="N586">
        <v>169.83699999999999</v>
      </c>
      <c r="O586">
        <v>0</v>
      </c>
      <c r="P586">
        <v>1</v>
      </c>
      <c r="Q586">
        <v>13</v>
      </c>
      <c r="R586" t="s">
        <v>2788</v>
      </c>
      <c r="S586" t="s">
        <v>2789</v>
      </c>
      <c r="T586">
        <f>I586*-0.5+M586*0.5</f>
        <v>9.4E-2</v>
      </c>
      <c r="U586">
        <f>I586*0.7+M586*-0.25+D586*-0.25</f>
        <v>4.9774999999999986E-2</v>
      </c>
      <c r="V586">
        <f>J586*0.5+I586*-0.5</f>
        <v>7.6499999999999985E-2</v>
      </c>
      <c r="W586">
        <f>M586*0.5+G586*0.25+I586*0.25</f>
        <v>0.38850000000000001</v>
      </c>
    </row>
    <row r="587" spans="1:23" x14ac:dyDescent="0.2">
      <c r="A587">
        <v>4.2500000000000003E-2</v>
      </c>
      <c r="B587">
        <v>9</v>
      </c>
      <c r="C587">
        <v>4</v>
      </c>
      <c r="D587">
        <v>8.1900000000000001E-2</v>
      </c>
      <c r="E587">
        <v>-5.7569999999999997</v>
      </c>
      <c r="F587">
        <v>267413</v>
      </c>
      <c r="G587">
        <v>0.69699999999999995</v>
      </c>
      <c r="H587">
        <v>267</v>
      </c>
      <c r="I587">
        <v>0.441</v>
      </c>
      <c r="J587">
        <v>0.40899999999999997</v>
      </c>
      <c r="K587" t="s">
        <v>2610</v>
      </c>
      <c r="L587">
        <v>24</v>
      </c>
      <c r="M587">
        <v>0.629</v>
      </c>
      <c r="N587">
        <v>123.279</v>
      </c>
      <c r="O587" s="1">
        <v>3.8E-6</v>
      </c>
      <c r="P587">
        <v>1</v>
      </c>
      <c r="Q587">
        <v>9</v>
      </c>
      <c r="R587" t="s">
        <v>2611</v>
      </c>
      <c r="S587" t="s">
        <v>2612</v>
      </c>
      <c r="T587">
        <f>I587*-0.5+M587*0.5</f>
        <v>9.4E-2</v>
      </c>
      <c r="U587">
        <f>I587*0.7+M587*-0.25+D587*-0.25</f>
        <v>0.13097499999999998</v>
      </c>
      <c r="V587">
        <f>J587*0.5+I587*-0.5</f>
        <v>-1.6000000000000014E-2</v>
      </c>
      <c r="W587">
        <f>M587*0.5+G587*0.25+I587*0.25</f>
        <v>0.59899999999999998</v>
      </c>
    </row>
    <row r="588" spans="1:23" x14ac:dyDescent="0.2">
      <c r="A588">
        <v>5.2699999999999997E-2</v>
      </c>
      <c r="B588">
        <v>11</v>
      </c>
      <c r="C588">
        <v>4</v>
      </c>
      <c r="D588">
        <v>0.107</v>
      </c>
      <c r="E588">
        <v>-6.4</v>
      </c>
      <c r="F588">
        <v>203475</v>
      </c>
      <c r="G588">
        <v>0.54600000000000004</v>
      </c>
      <c r="H588">
        <v>196</v>
      </c>
      <c r="I588">
        <v>0.45700000000000002</v>
      </c>
      <c r="J588">
        <v>3.9699999999999999E-2</v>
      </c>
      <c r="K588" t="s">
        <v>1638</v>
      </c>
      <c r="L588">
        <v>60</v>
      </c>
      <c r="M588">
        <v>0.64500000000000002</v>
      </c>
      <c r="N588">
        <v>101.578</v>
      </c>
      <c r="O588">
        <v>0</v>
      </c>
      <c r="P588">
        <v>1</v>
      </c>
      <c r="Q588">
        <v>13</v>
      </c>
      <c r="R588" t="s">
        <v>206</v>
      </c>
      <c r="S588" t="s">
        <v>1639</v>
      </c>
      <c r="T588">
        <f>I588*-0.5+M588*0.5</f>
        <v>9.4E-2</v>
      </c>
      <c r="U588">
        <f>I588*0.7+M588*-0.25+D588*-0.25</f>
        <v>0.13190000000000002</v>
      </c>
      <c r="V588">
        <f>J588*0.5+I588*-0.5</f>
        <v>-0.20865</v>
      </c>
      <c r="W588">
        <f>M588*0.5+G588*0.25+I588*0.25</f>
        <v>0.57325000000000004</v>
      </c>
    </row>
    <row r="589" spans="1:23" x14ac:dyDescent="0.2">
      <c r="A589">
        <v>0.27400000000000002</v>
      </c>
      <c r="B589">
        <v>2</v>
      </c>
      <c r="C589">
        <v>4</v>
      </c>
      <c r="D589">
        <v>0.17799999999999999</v>
      </c>
      <c r="E589">
        <v>-4.0810000000000004</v>
      </c>
      <c r="F589">
        <v>202221</v>
      </c>
      <c r="G589">
        <v>0.65700000000000003</v>
      </c>
      <c r="H589">
        <v>198</v>
      </c>
      <c r="I589">
        <v>0.55100000000000005</v>
      </c>
      <c r="J589">
        <v>0.14099999999999999</v>
      </c>
      <c r="K589" t="s">
        <v>1827</v>
      </c>
      <c r="L589">
        <v>60</v>
      </c>
      <c r="M589">
        <v>0.73899999999999999</v>
      </c>
      <c r="N589">
        <v>181.994</v>
      </c>
      <c r="O589">
        <v>0</v>
      </c>
      <c r="P589">
        <v>1</v>
      </c>
      <c r="Q589">
        <v>9</v>
      </c>
      <c r="R589" t="s">
        <v>1531</v>
      </c>
      <c r="S589" t="s">
        <v>1828</v>
      </c>
      <c r="T589">
        <f>I589*-0.5+M589*0.5</f>
        <v>9.3999999999999972E-2</v>
      </c>
      <c r="U589">
        <f>I589*0.7+M589*-0.25+D589*-0.25</f>
        <v>0.15644999999999998</v>
      </c>
      <c r="V589">
        <f>J589*0.5+I589*-0.5</f>
        <v>-0.20500000000000002</v>
      </c>
      <c r="W589">
        <f>M589*0.5+G589*0.25+I589*0.25</f>
        <v>0.67149999999999999</v>
      </c>
    </row>
    <row r="590" spans="1:23" x14ac:dyDescent="0.2">
      <c r="A590">
        <v>0.14299999999999999</v>
      </c>
      <c r="B590">
        <v>3</v>
      </c>
      <c r="C590">
        <v>4</v>
      </c>
      <c r="D590">
        <v>0.111</v>
      </c>
      <c r="E590">
        <v>-3.77</v>
      </c>
      <c r="F590">
        <v>209423</v>
      </c>
      <c r="G590">
        <v>0.74099999999999999</v>
      </c>
      <c r="H590">
        <v>208</v>
      </c>
      <c r="I590">
        <v>0.53900000000000003</v>
      </c>
      <c r="J590">
        <v>0.18099999999999999</v>
      </c>
      <c r="K590" t="s">
        <v>1956</v>
      </c>
      <c r="L590">
        <v>52</v>
      </c>
      <c r="M590">
        <v>0.72599999999999998</v>
      </c>
      <c r="N590">
        <v>163.99100000000001</v>
      </c>
      <c r="O590">
        <v>1.8900000000000001E-4</v>
      </c>
      <c r="P590">
        <v>0</v>
      </c>
      <c r="Q590">
        <v>5</v>
      </c>
      <c r="R590" t="s">
        <v>1957</v>
      </c>
      <c r="S590" t="s">
        <v>1958</v>
      </c>
      <c r="T590">
        <f>I590*-0.5+M590*0.5</f>
        <v>9.3499999999999972E-2</v>
      </c>
      <c r="U590">
        <f>I590*0.7+M590*-0.25+D590*-0.25</f>
        <v>0.16805000000000003</v>
      </c>
      <c r="V590">
        <f>J590*0.5+I590*-0.5</f>
        <v>-0.17900000000000002</v>
      </c>
      <c r="W590">
        <f>M590*0.5+G590*0.25+I590*0.25</f>
        <v>0.68300000000000005</v>
      </c>
    </row>
    <row r="591" spans="1:23" x14ac:dyDescent="0.2">
      <c r="A591">
        <v>0.151</v>
      </c>
      <c r="B591">
        <v>9</v>
      </c>
      <c r="C591">
        <v>4</v>
      </c>
      <c r="D591">
        <v>0.32500000000000001</v>
      </c>
      <c r="E591">
        <v>-4.0910000000000002</v>
      </c>
      <c r="F591">
        <v>192560</v>
      </c>
      <c r="G591">
        <v>0.59599999999999997</v>
      </c>
      <c r="H591">
        <v>191</v>
      </c>
      <c r="I591">
        <v>0.54300000000000004</v>
      </c>
      <c r="J591">
        <v>0.24</v>
      </c>
      <c r="K591" t="s">
        <v>2122</v>
      </c>
      <c r="L591">
        <v>55</v>
      </c>
      <c r="M591">
        <v>0.73</v>
      </c>
      <c r="N591">
        <v>85.978999999999999</v>
      </c>
      <c r="O591">
        <v>0</v>
      </c>
      <c r="P591">
        <v>1</v>
      </c>
      <c r="Q591">
        <v>5</v>
      </c>
      <c r="R591" t="s">
        <v>2123</v>
      </c>
      <c r="S591" t="s">
        <v>2124</v>
      </c>
      <c r="T591">
        <f>I591*-0.5+M591*0.5</f>
        <v>9.3499999999999972E-2</v>
      </c>
      <c r="U591">
        <f>I591*0.7+M591*-0.25+D591*-0.25</f>
        <v>0.11635</v>
      </c>
      <c r="V591">
        <f>J591*0.5+I591*-0.5</f>
        <v>-0.15150000000000002</v>
      </c>
      <c r="W591">
        <f>M591*0.5+G591*0.25+I591*0.25</f>
        <v>0.64975000000000005</v>
      </c>
    </row>
    <row r="592" spans="1:23" x14ac:dyDescent="0.2">
      <c r="A592">
        <v>5.8099999999999999E-2</v>
      </c>
      <c r="B592">
        <v>5</v>
      </c>
      <c r="C592">
        <v>4</v>
      </c>
      <c r="D592">
        <v>0.16300000000000001</v>
      </c>
      <c r="E592">
        <v>-5.0979999999999999</v>
      </c>
      <c r="F592">
        <v>219043</v>
      </c>
      <c r="G592">
        <v>0.63600000000000001</v>
      </c>
      <c r="H592">
        <v>218</v>
      </c>
      <c r="I592">
        <v>0.629</v>
      </c>
      <c r="J592">
        <v>1.8499999999999999E-2</v>
      </c>
      <c r="K592" t="s">
        <v>1190</v>
      </c>
      <c r="L592">
        <v>58</v>
      </c>
      <c r="M592">
        <v>0.81499999999999995</v>
      </c>
      <c r="N592">
        <v>123.063</v>
      </c>
      <c r="O592">
        <v>0</v>
      </c>
      <c r="P592">
        <v>0</v>
      </c>
      <c r="Q592">
        <v>13</v>
      </c>
      <c r="R592" t="s">
        <v>1191</v>
      </c>
      <c r="S592" t="s">
        <v>1192</v>
      </c>
      <c r="T592">
        <f>I592*-0.5+M592*0.5</f>
        <v>9.2999999999999972E-2</v>
      </c>
      <c r="U592">
        <f>I592*0.7+M592*-0.25+D592*-0.25</f>
        <v>0.19579999999999997</v>
      </c>
      <c r="V592">
        <f>J592*0.5+I592*-0.5</f>
        <v>-0.30525000000000002</v>
      </c>
      <c r="W592">
        <f>M592*0.5+G592*0.25+I592*0.25</f>
        <v>0.72375</v>
      </c>
    </row>
    <row r="593" spans="1:23" x14ac:dyDescent="0.2">
      <c r="A593">
        <v>7.9699999999999993E-2</v>
      </c>
      <c r="B593">
        <v>1</v>
      </c>
      <c r="C593">
        <v>4</v>
      </c>
      <c r="D593">
        <v>0.153</v>
      </c>
      <c r="E593">
        <v>-4.282</v>
      </c>
      <c r="F593">
        <v>225983</v>
      </c>
      <c r="G593">
        <v>0.81799999999999995</v>
      </c>
      <c r="H593">
        <v>224</v>
      </c>
      <c r="I593">
        <v>0.61799999999999999</v>
      </c>
      <c r="J593">
        <v>3.4000000000000002E-2</v>
      </c>
      <c r="K593" t="s">
        <v>1273</v>
      </c>
      <c r="L593">
        <v>61</v>
      </c>
      <c r="M593">
        <v>0.80300000000000005</v>
      </c>
      <c r="N593">
        <v>106.97</v>
      </c>
      <c r="O593">
        <v>0</v>
      </c>
      <c r="P593">
        <v>1</v>
      </c>
      <c r="Q593">
        <v>1</v>
      </c>
      <c r="R593" t="s">
        <v>504</v>
      </c>
      <c r="S593" t="s">
        <v>1274</v>
      </c>
      <c r="T593">
        <f>I593*-0.5+M593*0.5</f>
        <v>9.2500000000000027E-2</v>
      </c>
      <c r="U593">
        <f>I593*0.7+M593*-0.25+D593*-0.25</f>
        <v>0.19359999999999997</v>
      </c>
      <c r="V593">
        <f>J593*0.5+I593*-0.5</f>
        <v>-0.29199999999999998</v>
      </c>
      <c r="W593">
        <f>M593*0.5+G593*0.25+I593*0.25</f>
        <v>0.76049999999999995</v>
      </c>
    </row>
    <row r="594" spans="1:23" x14ac:dyDescent="0.2">
      <c r="A594">
        <v>5.6800000000000003E-2</v>
      </c>
      <c r="B594">
        <v>1</v>
      </c>
      <c r="C594">
        <v>4</v>
      </c>
      <c r="D594">
        <v>9.5299999999999996E-2</v>
      </c>
      <c r="E594">
        <v>-9.5820000000000007</v>
      </c>
      <c r="F594">
        <v>259102</v>
      </c>
      <c r="G594">
        <v>0.82499999999999996</v>
      </c>
      <c r="H594">
        <v>258</v>
      </c>
      <c r="I594">
        <v>0.251</v>
      </c>
      <c r="J594">
        <v>0.45200000000000001</v>
      </c>
      <c r="K594" t="s">
        <v>2857</v>
      </c>
      <c r="L594">
        <v>48</v>
      </c>
      <c r="M594">
        <v>0.435</v>
      </c>
      <c r="N594">
        <v>119.038</v>
      </c>
      <c r="O594">
        <v>0.60899999999999999</v>
      </c>
      <c r="P594">
        <v>1</v>
      </c>
      <c r="Q594">
        <v>15</v>
      </c>
      <c r="R594" t="s">
        <v>2858</v>
      </c>
      <c r="S594" t="s">
        <v>2859</v>
      </c>
      <c r="T594">
        <f>I594*-0.5+M594*0.5</f>
        <v>9.1999999999999998E-2</v>
      </c>
      <c r="U594">
        <f>I594*0.7+M594*-0.25+D594*-0.25</f>
        <v>4.3124999999999997E-2</v>
      </c>
      <c r="V594">
        <f>J594*0.5+I594*-0.5</f>
        <v>0.10050000000000001</v>
      </c>
      <c r="W594">
        <f>M594*0.5+G594*0.25+I594*0.25</f>
        <v>0.48649999999999993</v>
      </c>
    </row>
    <row r="595" spans="1:23" x14ac:dyDescent="0.2">
      <c r="A595">
        <v>0.04</v>
      </c>
      <c r="B595">
        <v>7</v>
      </c>
      <c r="C595">
        <v>4</v>
      </c>
      <c r="D595">
        <v>0.36099999999999999</v>
      </c>
      <c r="E595">
        <v>-4.819</v>
      </c>
      <c r="F595">
        <v>238920</v>
      </c>
      <c r="G595">
        <v>0.68</v>
      </c>
      <c r="H595">
        <v>239</v>
      </c>
      <c r="I595">
        <v>0.46500000000000002</v>
      </c>
      <c r="J595">
        <v>4.7400000000000003E-3</v>
      </c>
      <c r="K595" t="s">
        <v>1501</v>
      </c>
      <c r="L595">
        <v>22</v>
      </c>
      <c r="M595">
        <v>0.64900000000000002</v>
      </c>
      <c r="N595">
        <v>137.00899999999999</v>
      </c>
      <c r="O595" s="1">
        <v>9.2299999999999994E-5</v>
      </c>
      <c r="P595">
        <v>1</v>
      </c>
      <c r="Q595">
        <v>1</v>
      </c>
      <c r="R595" t="s">
        <v>638</v>
      </c>
      <c r="S595" t="s">
        <v>1502</v>
      </c>
      <c r="T595">
        <f>I595*-0.5+M595*0.5</f>
        <v>9.1999999999999998E-2</v>
      </c>
      <c r="U595">
        <f>I595*0.7+M595*-0.25+D595*-0.25</f>
        <v>7.3000000000000009E-2</v>
      </c>
      <c r="V595">
        <f>J595*0.5+I595*-0.5</f>
        <v>-0.23013</v>
      </c>
      <c r="W595">
        <f>M595*0.5+G595*0.25+I595*0.25</f>
        <v>0.61075000000000002</v>
      </c>
    </row>
    <row r="596" spans="1:23" x14ac:dyDescent="0.2">
      <c r="A596">
        <v>4.99E-2</v>
      </c>
      <c r="B596">
        <v>0</v>
      </c>
      <c r="C596">
        <v>4</v>
      </c>
      <c r="D596">
        <v>0.33500000000000002</v>
      </c>
      <c r="E596">
        <v>-3.0350000000000001</v>
      </c>
      <c r="F596">
        <v>227280</v>
      </c>
      <c r="G596">
        <v>0.66900000000000004</v>
      </c>
      <c r="H596">
        <v>225</v>
      </c>
      <c r="I596">
        <v>0.67100000000000004</v>
      </c>
      <c r="J596">
        <v>1.24E-2</v>
      </c>
      <c r="K596" t="s">
        <v>1092</v>
      </c>
      <c r="L596">
        <v>41</v>
      </c>
      <c r="M596">
        <v>0.85499999999999998</v>
      </c>
      <c r="N596">
        <v>120.045</v>
      </c>
      <c r="O596">
        <v>0</v>
      </c>
      <c r="P596">
        <v>0</v>
      </c>
      <c r="Q596">
        <v>8</v>
      </c>
      <c r="R596" t="s">
        <v>1093</v>
      </c>
      <c r="S596" t="s">
        <v>1094</v>
      </c>
      <c r="T596">
        <f>I596*-0.5+M596*0.5</f>
        <v>9.1999999999999971E-2</v>
      </c>
      <c r="U596">
        <f>I596*0.7+M596*-0.25+D596*-0.25</f>
        <v>0.17220000000000002</v>
      </c>
      <c r="V596">
        <f>J596*0.5+I596*-0.5</f>
        <v>-0.32930000000000004</v>
      </c>
      <c r="W596">
        <f>M596*0.5+G596*0.25+I596*0.25</f>
        <v>0.76249999999999996</v>
      </c>
    </row>
    <row r="597" spans="1:23" x14ac:dyDescent="0.2">
      <c r="A597">
        <v>4.7300000000000002E-2</v>
      </c>
      <c r="B597">
        <v>0</v>
      </c>
      <c r="C597">
        <v>4</v>
      </c>
      <c r="D597">
        <v>0.157</v>
      </c>
      <c r="E597">
        <v>-6.8490000000000002</v>
      </c>
      <c r="F597">
        <v>218760</v>
      </c>
      <c r="G597">
        <v>0.63800000000000001</v>
      </c>
      <c r="H597">
        <v>217</v>
      </c>
      <c r="I597">
        <v>0.35699999999999998</v>
      </c>
      <c r="J597">
        <v>0.50600000000000001</v>
      </c>
      <c r="K597" t="s">
        <v>2862</v>
      </c>
      <c r="L597">
        <v>12</v>
      </c>
      <c r="M597">
        <v>0.54</v>
      </c>
      <c r="N597">
        <v>143.77199999999999</v>
      </c>
      <c r="O597">
        <v>0</v>
      </c>
      <c r="P597">
        <v>1</v>
      </c>
      <c r="Q597">
        <v>15</v>
      </c>
      <c r="R597" t="s">
        <v>2863</v>
      </c>
      <c r="S597" t="s">
        <v>2864</v>
      </c>
      <c r="T597">
        <f>I597*-0.5+M597*0.5</f>
        <v>9.1500000000000026E-2</v>
      </c>
      <c r="U597">
        <f>I597*0.7+M597*-0.25+D597*-0.25</f>
        <v>7.5649999999999967E-2</v>
      </c>
      <c r="V597">
        <f>J597*0.5+I597*-0.5</f>
        <v>7.4500000000000011E-2</v>
      </c>
      <c r="W597">
        <f>M597*0.5+G597*0.25+I597*0.25</f>
        <v>0.51875000000000004</v>
      </c>
    </row>
    <row r="598" spans="1:23" x14ac:dyDescent="0.2">
      <c r="A598">
        <v>4.3999999999999997E-2</v>
      </c>
      <c r="B598">
        <v>5</v>
      </c>
      <c r="C598">
        <v>4</v>
      </c>
      <c r="D598">
        <v>5.6099999999999997E-2</v>
      </c>
      <c r="E598">
        <v>-3.7629999999999999</v>
      </c>
      <c r="F598">
        <v>216013</v>
      </c>
      <c r="G598">
        <v>0.60199999999999998</v>
      </c>
      <c r="H598">
        <v>214</v>
      </c>
      <c r="I598">
        <v>0.74</v>
      </c>
      <c r="J598">
        <v>9.7999999999999997E-3</v>
      </c>
      <c r="K598" t="s">
        <v>952</v>
      </c>
      <c r="L598">
        <v>48</v>
      </c>
      <c r="M598">
        <v>0.92300000000000004</v>
      </c>
      <c r="N598">
        <v>136.01</v>
      </c>
      <c r="O598">
        <v>0</v>
      </c>
      <c r="P598">
        <v>1</v>
      </c>
      <c r="Q598">
        <v>14</v>
      </c>
      <c r="R598" t="s">
        <v>953</v>
      </c>
      <c r="S598" t="s">
        <v>954</v>
      </c>
      <c r="T598">
        <f>I598*-0.5+M598*0.5</f>
        <v>9.1500000000000026E-2</v>
      </c>
      <c r="U598">
        <f>I598*0.7+M598*-0.25+D598*-0.25</f>
        <v>0.273225</v>
      </c>
      <c r="V598">
        <f>J598*0.5+I598*-0.5</f>
        <v>-0.36509999999999998</v>
      </c>
      <c r="W598">
        <f>M598*0.5+G598*0.25+I598*0.25</f>
        <v>0.79699999999999993</v>
      </c>
    </row>
    <row r="599" spans="1:23" x14ac:dyDescent="0.2">
      <c r="A599">
        <v>4.53E-2</v>
      </c>
      <c r="B599">
        <v>0</v>
      </c>
      <c r="C599">
        <v>4</v>
      </c>
      <c r="D599">
        <v>0.68899999999999995</v>
      </c>
      <c r="E599">
        <v>-2.871</v>
      </c>
      <c r="F599">
        <v>215000</v>
      </c>
      <c r="G599">
        <v>0.41299999999999998</v>
      </c>
      <c r="H599">
        <v>215</v>
      </c>
      <c r="I599">
        <v>0.75900000000000001</v>
      </c>
      <c r="J599">
        <v>7.8299999999999995E-2</v>
      </c>
      <c r="K599" t="s">
        <v>1182</v>
      </c>
      <c r="L599">
        <v>20</v>
      </c>
      <c r="M599">
        <v>0.94199999999999995</v>
      </c>
      <c r="N599">
        <v>123.08499999999999</v>
      </c>
      <c r="O599">
        <v>4.1199999999999999E-4</v>
      </c>
      <c r="P599">
        <v>1</v>
      </c>
      <c r="Q599">
        <v>15</v>
      </c>
      <c r="R599" t="s">
        <v>1183</v>
      </c>
      <c r="S599" t="s">
        <v>1184</v>
      </c>
      <c r="T599">
        <f>I599*-0.5+M599*0.5</f>
        <v>9.149999999999997E-2</v>
      </c>
      <c r="U599">
        <f>I599*0.7+M599*-0.25+D599*-0.25</f>
        <v>0.12355000000000002</v>
      </c>
      <c r="V599">
        <f>J599*0.5+I599*-0.5</f>
        <v>-0.34034999999999999</v>
      </c>
      <c r="W599">
        <f>M599*0.5+G599*0.25+I599*0.25</f>
        <v>0.7639999999999999</v>
      </c>
    </row>
    <row r="600" spans="1:23" x14ac:dyDescent="0.2">
      <c r="A600">
        <v>3.7100000000000001E-2</v>
      </c>
      <c r="B600">
        <v>9</v>
      </c>
      <c r="C600">
        <v>4</v>
      </c>
      <c r="D600">
        <v>0.13600000000000001</v>
      </c>
      <c r="E600">
        <v>-8.8209999999999997</v>
      </c>
      <c r="F600">
        <v>237027</v>
      </c>
      <c r="G600">
        <v>0.27800000000000002</v>
      </c>
      <c r="H600">
        <v>236</v>
      </c>
      <c r="I600">
        <v>0.49399999999999999</v>
      </c>
      <c r="J600">
        <v>4.2299999999999998E-4</v>
      </c>
      <c r="K600" t="s">
        <v>1429</v>
      </c>
      <c r="L600">
        <v>17</v>
      </c>
      <c r="M600">
        <v>0.67600000000000005</v>
      </c>
      <c r="N600">
        <v>104.545</v>
      </c>
      <c r="O600">
        <v>8.9899999999999995E-4</v>
      </c>
      <c r="P600">
        <v>1</v>
      </c>
      <c r="Q600">
        <v>17</v>
      </c>
      <c r="R600" t="s">
        <v>1183</v>
      </c>
      <c r="S600" t="s">
        <v>1430</v>
      </c>
      <c r="T600">
        <f>I600*-0.5+M600*0.5</f>
        <v>9.1000000000000025E-2</v>
      </c>
      <c r="U600">
        <f>I600*0.7+M600*-0.25+D600*-0.25</f>
        <v>0.14279999999999998</v>
      </c>
      <c r="V600">
        <f>J600*0.5+I600*-0.5</f>
        <v>-0.24678849999999999</v>
      </c>
      <c r="W600">
        <f>M600*0.5+G600*0.25+I600*0.25</f>
        <v>0.53100000000000003</v>
      </c>
    </row>
    <row r="601" spans="1:23" x14ac:dyDescent="0.2">
      <c r="A601">
        <v>0.182</v>
      </c>
      <c r="B601">
        <v>6</v>
      </c>
      <c r="C601">
        <v>4</v>
      </c>
      <c r="D601">
        <v>6.6600000000000006E-2</v>
      </c>
      <c r="E601">
        <v>-3.9140000000000001</v>
      </c>
      <c r="F601">
        <v>253720</v>
      </c>
      <c r="G601">
        <v>0.83699999999999997</v>
      </c>
      <c r="H601">
        <v>248</v>
      </c>
      <c r="I601">
        <v>0.70299999999999996</v>
      </c>
      <c r="J601">
        <v>0.10299999999999999</v>
      </c>
      <c r="K601" t="s">
        <v>1409</v>
      </c>
      <c r="L601">
        <v>13</v>
      </c>
      <c r="M601">
        <v>0.88500000000000001</v>
      </c>
      <c r="N601">
        <v>95.313000000000002</v>
      </c>
      <c r="O601">
        <v>0</v>
      </c>
      <c r="P601">
        <v>0</v>
      </c>
      <c r="Q601">
        <v>7</v>
      </c>
      <c r="R601" t="s">
        <v>1391</v>
      </c>
      <c r="S601" t="s">
        <v>1410</v>
      </c>
      <c r="T601">
        <f>I601*-0.5+M601*0.5</f>
        <v>9.1000000000000025E-2</v>
      </c>
      <c r="U601">
        <f>I601*0.7+M601*-0.25+D601*-0.25</f>
        <v>0.25419999999999993</v>
      </c>
      <c r="V601">
        <f>J601*0.5+I601*-0.5</f>
        <v>-0.3</v>
      </c>
      <c r="W601">
        <f>M601*0.5+G601*0.25+I601*0.25</f>
        <v>0.82750000000000001</v>
      </c>
    </row>
    <row r="602" spans="1:23" x14ac:dyDescent="0.2">
      <c r="A602">
        <v>4.8500000000000001E-2</v>
      </c>
      <c r="B602">
        <v>6</v>
      </c>
      <c r="C602">
        <v>4</v>
      </c>
      <c r="D602">
        <v>9.7100000000000006E-2</v>
      </c>
      <c r="E602">
        <v>-6.6479999999999997</v>
      </c>
      <c r="F602">
        <v>219278</v>
      </c>
      <c r="G602">
        <v>0.67600000000000005</v>
      </c>
      <c r="H602">
        <v>223</v>
      </c>
      <c r="I602">
        <v>0.61399999999999999</v>
      </c>
      <c r="J602">
        <v>0.307</v>
      </c>
      <c r="K602" t="s">
        <v>2226</v>
      </c>
      <c r="L602">
        <v>52</v>
      </c>
      <c r="M602">
        <v>0.79500000000000004</v>
      </c>
      <c r="N602">
        <v>135.92400000000001</v>
      </c>
      <c r="O602" s="1">
        <v>6.6100000000000002E-6</v>
      </c>
      <c r="P602">
        <v>1</v>
      </c>
      <c r="Q602">
        <v>16</v>
      </c>
      <c r="R602" t="s">
        <v>2227</v>
      </c>
      <c r="S602" t="s">
        <v>2228</v>
      </c>
      <c r="T602">
        <f>I602*-0.5+M602*0.5</f>
        <v>9.0500000000000025E-2</v>
      </c>
      <c r="U602">
        <f>I602*0.7+M602*-0.25+D602*-0.25</f>
        <v>0.20677499999999996</v>
      </c>
      <c r="V602">
        <f>J602*0.5+I602*-0.5</f>
        <v>-0.1535</v>
      </c>
      <c r="W602">
        <f>M602*0.5+G602*0.25+I602*0.25</f>
        <v>0.72</v>
      </c>
    </row>
    <row r="603" spans="1:23" x14ac:dyDescent="0.2">
      <c r="A603">
        <v>0.153</v>
      </c>
      <c r="B603">
        <v>1</v>
      </c>
      <c r="C603">
        <v>4</v>
      </c>
      <c r="D603">
        <v>0.159</v>
      </c>
      <c r="E603">
        <v>-5.3520000000000003</v>
      </c>
      <c r="F603">
        <v>193920</v>
      </c>
      <c r="G603">
        <v>0.66</v>
      </c>
      <c r="H603">
        <v>191</v>
      </c>
      <c r="I603">
        <v>0.624</v>
      </c>
      <c r="J603">
        <v>1.9199999999999998E-2</v>
      </c>
      <c r="K603" t="s">
        <v>1227</v>
      </c>
      <c r="L603">
        <v>51</v>
      </c>
      <c r="M603">
        <v>0.80500000000000005</v>
      </c>
      <c r="N603">
        <v>103.009</v>
      </c>
      <c r="O603" s="1">
        <v>8.8300000000000002E-6</v>
      </c>
      <c r="P603">
        <v>0</v>
      </c>
      <c r="Q603">
        <v>2</v>
      </c>
      <c r="R603" t="s">
        <v>1228</v>
      </c>
      <c r="S603" t="s">
        <v>1229</v>
      </c>
      <c r="T603">
        <f>I603*-0.5+M603*0.5</f>
        <v>9.0500000000000025E-2</v>
      </c>
      <c r="U603">
        <f>I603*0.7+M603*-0.25+D603*-0.25</f>
        <v>0.19579999999999995</v>
      </c>
      <c r="V603">
        <f>J603*0.5+I603*-0.5</f>
        <v>-0.3024</v>
      </c>
      <c r="W603">
        <f>M603*0.5+G603*0.25+I603*0.25</f>
        <v>0.72350000000000003</v>
      </c>
    </row>
    <row r="604" spans="1:23" x14ac:dyDescent="0.2">
      <c r="A604">
        <v>0.18099999999999999</v>
      </c>
      <c r="B604">
        <v>6</v>
      </c>
      <c r="C604">
        <v>4</v>
      </c>
      <c r="D604">
        <v>0.30099999999999999</v>
      </c>
      <c r="E604">
        <v>-6.0780000000000003</v>
      </c>
      <c r="F604">
        <v>264653</v>
      </c>
      <c r="G604">
        <v>0.78100000000000003</v>
      </c>
      <c r="H604">
        <v>237</v>
      </c>
      <c r="I604">
        <v>0.68799999999999994</v>
      </c>
      <c r="J604">
        <v>0.377</v>
      </c>
      <c r="K604" t="s">
        <v>2317</v>
      </c>
      <c r="L604">
        <v>11</v>
      </c>
      <c r="M604">
        <v>0.86899999999999999</v>
      </c>
      <c r="N604">
        <v>97.025000000000006</v>
      </c>
      <c r="O604" s="1">
        <v>1.1999999999999999E-6</v>
      </c>
      <c r="P604">
        <v>1</v>
      </c>
      <c r="Q604">
        <v>2</v>
      </c>
      <c r="R604" t="s">
        <v>2318</v>
      </c>
      <c r="S604" t="s">
        <v>2319</v>
      </c>
      <c r="T604">
        <f>I604*-0.5+M604*0.5</f>
        <v>9.0500000000000025E-2</v>
      </c>
      <c r="U604">
        <f>I604*0.7+M604*-0.25+D604*-0.25</f>
        <v>0.18909999999999993</v>
      </c>
      <c r="V604">
        <f>J604*0.5+I604*-0.5</f>
        <v>-0.15549999999999997</v>
      </c>
      <c r="W604">
        <f>M604*0.5+G604*0.25+I604*0.25</f>
        <v>0.80174999999999996</v>
      </c>
    </row>
    <row r="605" spans="1:23" x14ac:dyDescent="0.2">
      <c r="A605">
        <v>4.7600000000000003E-2</v>
      </c>
      <c r="B605">
        <v>4</v>
      </c>
      <c r="C605">
        <v>4</v>
      </c>
      <c r="D605">
        <v>9.8599999999999993E-2</v>
      </c>
      <c r="E605">
        <v>-10.48</v>
      </c>
      <c r="F605">
        <v>258987</v>
      </c>
      <c r="G605">
        <v>0.61399999999999999</v>
      </c>
      <c r="H605">
        <v>255</v>
      </c>
      <c r="I605">
        <v>0.19800000000000001</v>
      </c>
      <c r="J605">
        <v>0.60699999999999998</v>
      </c>
      <c r="K605" t="s">
        <v>3006</v>
      </c>
      <c r="L605">
        <v>56</v>
      </c>
      <c r="M605">
        <v>0.379</v>
      </c>
      <c r="N605">
        <v>107.989</v>
      </c>
      <c r="O605">
        <v>4.64E-4</v>
      </c>
      <c r="P605">
        <v>1</v>
      </c>
      <c r="Q605">
        <v>12</v>
      </c>
      <c r="R605" t="s">
        <v>2717</v>
      </c>
      <c r="S605" t="s">
        <v>214</v>
      </c>
      <c r="T605">
        <f>I605*-0.5+M605*0.5</f>
        <v>9.0499999999999997E-2</v>
      </c>
      <c r="U605">
        <f>I605*0.7+M605*-0.25+D605*-0.25</f>
        <v>1.9200000000000002E-2</v>
      </c>
      <c r="V605">
        <f>J605*0.5+I605*-0.5</f>
        <v>0.20449999999999999</v>
      </c>
      <c r="W605">
        <f>M605*0.5+G605*0.25+I605*0.25</f>
        <v>0.39249999999999996</v>
      </c>
    </row>
    <row r="606" spans="1:23" x14ac:dyDescent="0.2">
      <c r="A606">
        <v>3.1699999999999999E-2</v>
      </c>
      <c r="B606">
        <v>10</v>
      </c>
      <c r="C606">
        <v>4</v>
      </c>
      <c r="D606">
        <v>7.4999999999999997E-2</v>
      </c>
      <c r="E606">
        <v>-6.5650000000000004</v>
      </c>
      <c r="F606">
        <v>230213</v>
      </c>
      <c r="G606">
        <v>0.48499999999999999</v>
      </c>
      <c r="H606">
        <v>226</v>
      </c>
      <c r="I606">
        <v>0.54200000000000004</v>
      </c>
      <c r="J606">
        <v>0.54100000000000004</v>
      </c>
      <c r="K606" t="s">
        <v>2773</v>
      </c>
      <c r="L606">
        <v>28</v>
      </c>
      <c r="M606">
        <v>0.72299999999999998</v>
      </c>
      <c r="N606">
        <v>167.845</v>
      </c>
      <c r="O606" s="1">
        <v>1.1200000000000001E-6</v>
      </c>
      <c r="P606">
        <v>1</v>
      </c>
      <c r="Q606">
        <v>12</v>
      </c>
      <c r="R606" t="s">
        <v>2774</v>
      </c>
      <c r="S606" t="s">
        <v>2775</v>
      </c>
      <c r="T606">
        <f>I606*-0.5+M606*0.5</f>
        <v>9.0499999999999969E-2</v>
      </c>
      <c r="U606">
        <f>I606*0.7+M606*-0.25+D606*-0.25</f>
        <v>0.17990000000000003</v>
      </c>
      <c r="V606">
        <f>J606*0.5+I606*-0.5</f>
        <v>-5.0000000000000044E-4</v>
      </c>
      <c r="W606">
        <f>M606*0.5+G606*0.25+I606*0.25</f>
        <v>0.61824999999999997</v>
      </c>
    </row>
    <row r="607" spans="1:23" x14ac:dyDescent="0.2">
      <c r="A607">
        <v>4.7899999999999998E-2</v>
      </c>
      <c r="B607">
        <v>8</v>
      </c>
      <c r="C607">
        <v>4</v>
      </c>
      <c r="D607">
        <v>8.0299999999999996E-2</v>
      </c>
      <c r="E607">
        <v>-4.968</v>
      </c>
      <c r="F607">
        <v>227880</v>
      </c>
      <c r="G607">
        <v>0.63800000000000001</v>
      </c>
      <c r="H607">
        <v>225</v>
      </c>
      <c r="I607">
        <v>0.64500000000000002</v>
      </c>
      <c r="J607">
        <v>0.13900000000000001</v>
      </c>
      <c r="K607" t="s">
        <v>1702</v>
      </c>
      <c r="L607">
        <v>37</v>
      </c>
      <c r="M607">
        <v>0.82599999999999996</v>
      </c>
      <c r="N607">
        <v>124.072</v>
      </c>
      <c r="O607">
        <v>0</v>
      </c>
      <c r="P607">
        <v>1</v>
      </c>
      <c r="Q607">
        <v>3</v>
      </c>
      <c r="R607" t="s">
        <v>206</v>
      </c>
      <c r="S607" t="s">
        <v>1703</v>
      </c>
      <c r="T607">
        <f>I607*-0.5+M607*0.5</f>
        <v>9.0499999999999969E-2</v>
      </c>
      <c r="U607">
        <f>I607*0.7+M607*-0.25+D607*-0.25</f>
        <v>0.22492499999999996</v>
      </c>
      <c r="V607">
        <f>J607*0.5+I607*-0.5</f>
        <v>-0.253</v>
      </c>
      <c r="W607">
        <f>M607*0.5+G607*0.25+I607*0.25</f>
        <v>0.73375000000000001</v>
      </c>
    </row>
    <row r="608" spans="1:23" x14ac:dyDescent="0.2">
      <c r="A608">
        <v>4.5100000000000001E-2</v>
      </c>
      <c r="B608">
        <v>5</v>
      </c>
      <c r="C608">
        <v>4</v>
      </c>
      <c r="D608">
        <v>0.65</v>
      </c>
      <c r="E608">
        <v>-3.6459999999999999</v>
      </c>
      <c r="F608">
        <v>189870</v>
      </c>
      <c r="G608">
        <v>0.78400000000000003</v>
      </c>
      <c r="H608">
        <v>188</v>
      </c>
      <c r="I608">
        <v>0.70199999999999996</v>
      </c>
      <c r="J608">
        <v>3.7699999999999997E-2</v>
      </c>
      <c r="K608" t="s">
        <v>1158</v>
      </c>
      <c r="L608">
        <v>57</v>
      </c>
      <c r="M608">
        <v>0.88200000000000001</v>
      </c>
      <c r="N608">
        <v>120.017</v>
      </c>
      <c r="O608">
        <v>0</v>
      </c>
      <c r="P608">
        <v>1</v>
      </c>
      <c r="Q608">
        <v>12</v>
      </c>
      <c r="R608" t="s">
        <v>1159</v>
      </c>
      <c r="S608" t="s">
        <v>1160</v>
      </c>
      <c r="T608">
        <f>I608*-0.5+M608*0.5</f>
        <v>9.0000000000000024E-2</v>
      </c>
      <c r="U608">
        <f>I608*0.7+M608*-0.25+D608*-0.25</f>
        <v>0.10839999999999991</v>
      </c>
      <c r="V608">
        <f>J608*0.5+I608*-0.5</f>
        <v>-0.33215</v>
      </c>
      <c r="W608">
        <f>M608*0.5+G608*0.25+I608*0.25</f>
        <v>0.8125</v>
      </c>
    </row>
    <row r="609" spans="1:23" x14ac:dyDescent="0.2">
      <c r="A609">
        <v>2.4400000000000002E-2</v>
      </c>
      <c r="B609">
        <v>10</v>
      </c>
      <c r="C609">
        <v>4</v>
      </c>
      <c r="D609">
        <v>7.8899999999999998E-2</v>
      </c>
      <c r="E609">
        <v>-4.51</v>
      </c>
      <c r="F609">
        <v>261427</v>
      </c>
      <c r="G609">
        <v>0.63</v>
      </c>
      <c r="H609">
        <v>255</v>
      </c>
      <c r="I609">
        <v>0.51800000000000002</v>
      </c>
      <c r="J609">
        <v>0.17299999999999999</v>
      </c>
      <c r="K609" t="s">
        <v>2001</v>
      </c>
      <c r="L609">
        <v>34</v>
      </c>
      <c r="M609">
        <v>0.69799999999999995</v>
      </c>
      <c r="N609">
        <v>94.022999999999996</v>
      </c>
      <c r="O609">
        <v>0</v>
      </c>
      <c r="P609">
        <v>1</v>
      </c>
      <c r="Q609">
        <v>14</v>
      </c>
      <c r="R609" t="s">
        <v>655</v>
      </c>
      <c r="S609" t="s">
        <v>2002</v>
      </c>
      <c r="T609">
        <f>I609*-0.5+M609*0.5</f>
        <v>8.9999999999999969E-2</v>
      </c>
      <c r="U609">
        <f>I609*0.7+M609*-0.25+D609*-0.25</f>
        <v>0.168375</v>
      </c>
      <c r="V609">
        <f>J609*0.5+I609*-0.5</f>
        <v>-0.17250000000000001</v>
      </c>
      <c r="W609">
        <f>M609*0.5+G609*0.25+I609*0.25</f>
        <v>0.6359999999999999</v>
      </c>
    </row>
    <row r="610" spans="1:23" x14ac:dyDescent="0.2">
      <c r="A610">
        <v>3.6799999999999999E-2</v>
      </c>
      <c r="B610">
        <v>2</v>
      </c>
      <c r="C610">
        <v>4</v>
      </c>
      <c r="D610">
        <v>0.27</v>
      </c>
      <c r="E610">
        <v>-5.55</v>
      </c>
      <c r="F610">
        <v>194227</v>
      </c>
      <c r="G610">
        <v>0.45100000000000001</v>
      </c>
      <c r="H610">
        <v>193</v>
      </c>
      <c r="I610">
        <v>0.63500000000000001</v>
      </c>
      <c r="J610" s="1">
        <v>6.0600000000000003E-5</v>
      </c>
      <c r="K610" t="s">
        <v>1150</v>
      </c>
      <c r="L610">
        <v>17</v>
      </c>
      <c r="M610">
        <v>0.81499999999999995</v>
      </c>
      <c r="N610">
        <v>147.97399999999999</v>
      </c>
      <c r="O610">
        <v>0</v>
      </c>
      <c r="P610">
        <v>0</v>
      </c>
      <c r="Q610">
        <v>15</v>
      </c>
      <c r="R610" t="s">
        <v>1151</v>
      </c>
      <c r="S610" t="s">
        <v>1152</v>
      </c>
      <c r="T610">
        <f>I610*-0.5+M610*0.5</f>
        <v>8.9999999999999969E-2</v>
      </c>
      <c r="U610">
        <f>I610*0.7+M610*-0.25+D610*-0.25</f>
        <v>0.17324999999999996</v>
      </c>
      <c r="V610">
        <f>J610*0.5+I610*-0.5</f>
        <v>-0.31746970000000002</v>
      </c>
      <c r="W610">
        <f>M610*0.5+G610*0.25+I610*0.25</f>
        <v>0.67900000000000005</v>
      </c>
    </row>
    <row r="611" spans="1:23" x14ac:dyDescent="0.2">
      <c r="A611">
        <v>3.2199999999999999E-2</v>
      </c>
      <c r="B611">
        <v>0</v>
      </c>
      <c r="C611">
        <v>4</v>
      </c>
      <c r="D611">
        <v>7.1900000000000006E-2</v>
      </c>
      <c r="E611">
        <v>-4.718</v>
      </c>
      <c r="F611">
        <v>213520</v>
      </c>
      <c r="G611">
        <v>0.56999999999999995</v>
      </c>
      <c r="H611">
        <v>207</v>
      </c>
      <c r="I611">
        <v>0.48499999999999999</v>
      </c>
      <c r="J611">
        <v>8.3599999999999994E-3</v>
      </c>
      <c r="K611" t="s">
        <v>1506</v>
      </c>
      <c r="L611">
        <v>30</v>
      </c>
      <c r="M611">
        <v>0.66400000000000003</v>
      </c>
      <c r="N611">
        <v>162.084</v>
      </c>
      <c r="O611" s="1">
        <v>1.2E-5</v>
      </c>
      <c r="P611">
        <v>0</v>
      </c>
      <c r="Q611">
        <v>11</v>
      </c>
      <c r="R611" t="s">
        <v>1507</v>
      </c>
      <c r="S611" t="s">
        <v>1162</v>
      </c>
      <c r="T611">
        <f>I611*-0.5+M611*0.5</f>
        <v>8.9500000000000024E-2</v>
      </c>
      <c r="U611">
        <f>I611*0.7+M611*-0.25+D611*-0.25</f>
        <v>0.15552499999999997</v>
      </c>
      <c r="V611">
        <f>J611*0.5+I611*-0.5</f>
        <v>-0.23832</v>
      </c>
      <c r="W611">
        <f>M611*0.5+G611*0.25+I611*0.25</f>
        <v>0.59575</v>
      </c>
    </row>
    <row r="612" spans="1:23" x14ac:dyDescent="0.2">
      <c r="A612">
        <v>0.17199999999999999</v>
      </c>
      <c r="B612">
        <v>10</v>
      </c>
      <c r="C612">
        <v>4</v>
      </c>
      <c r="D612">
        <v>6.9800000000000001E-2</v>
      </c>
      <c r="E612">
        <v>-8.6270000000000007</v>
      </c>
      <c r="F612">
        <v>340920</v>
      </c>
      <c r="G612">
        <v>0.66300000000000003</v>
      </c>
      <c r="H612">
        <v>222</v>
      </c>
      <c r="I612">
        <v>0.51500000000000001</v>
      </c>
      <c r="J612">
        <v>2.4899999999999999E-2</v>
      </c>
      <c r="K612" t="s">
        <v>1511</v>
      </c>
      <c r="L612">
        <v>8</v>
      </c>
      <c r="M612">
        <v>0.69399999999999995</v>
      </c>
      <c r="N612">
        <v>167.964</v>
      </c>
      <c r="O612">
        <v>0</v>
      </c>
      <c r="P612">
        <v>0</v>
      </c>
      <c r="Q612">
        <v>12</v>
      </c>
      <c r="R612" t="s">
        <v>1512</v>
      </c>
      <c r="S612" t="s">
        <v>1513</v>
      </c>
      <c r="T612">
        <f>I612*-0.5+M612*0.5</f>
        <v>8.9499999999999968E-2</v>
      </c>
      <c r="U612">
        <f>I612*0.7+M612*-0.25+D612*-0.25</f>
        <v>0.16955000000000001</v>
      </c>
      <c r="V612">
        <f>J612*0.5+I612*-0.5</f>
        <v>-0.24505000000000002</v>
      </c>
      <c r="W612">
        <f>M612*0.5+G612*0.25+I612*0.25</f>
        <v>0.64150000000000007</v>
      </c>
    </row>
    <row r="613" spans="1:23" x14ac:dyDescent="0.2">
      <c r="A613">
        <v>0.28399999999999997</v>
      </c>
      <c r="B613">
        <v>11</v>
      </c>
      <c r="C613">
        <v>4</v>
      </c>
      <c r="D613">
        <v>9.0499999999999997E-2</v>
      </c>
      <c r="E613">
        <v>-2.8119999999999998</v>
      </c>
      <c r="F613">
        <v>219493</v>
      </c>
      <c r="G613">
        <v>0.73599999999999999</v>
      </c>
      <c r="H613">
        <v>217</v>
      </c>
      <c r="I613">
        <v>0.76</v>
      </c>
      <c r="J613">
        <v>5.4999999999999997E-3</v>
      </c>
      <c r="K613" t="s">
        <v>921</v>
      </c>
      <c r="L613">
        <v>44</v>
      </c>
      <c r="M613">
        <v>0.93899999999999995</v>
      </c>
      <c r="N613">
        <v>132.07</v>
      </c>
      <c r="O613">
        <v>0</v>
      </c>
      <c r="P613">
        <v>0</v>
      </c>
      <c r="Q613">
        <v>3</v>
      </c>
      <c r="R613" t="s">
        <v>922</v>
      </c>
      <c r="S613" t="s">
        <v>923</v>
      </c>
      <c r="T613">
        <f>I613*-0.5+M613*0.5</f>
        <v>8.9499999999999968E-2</v>
      </c>
      <c r="U613">
        <f>I613*0.7+M613*-0.25+D613*-0.25</f>
        <v>0.2746249999999999</v>
      </c>
      <c r="V613">
        <f>J613*0.5+I613*-0.5</f>
        <v>-0.37725000000000003</v>
      </c>
      <c r="W613">
        <f>M613*0.5+G613*0.25+I613*0.25</f>
        <v>0.84349999999999992</v>
      </c>
    </row>
    <row r="614" spans="1:23" x14ac:dyDescent="0.2">
      <c r="A614">
        <v>3.2399999999999998E-2</v>
      </c>
      <c r="B614">
        <v>4</v>
      </c>
      <c r="C614">
        <v>4</v>
      </c>
      <c r="D614">
        <v>0.16900000000000001</v>
      </c>
      <c r="E614">
        <v>-7.4610000000000003</v>
      </c>
      <c r="F614">
        <v>153067</v>
      </c>
      <c r="G614">
        <v>0.59899999999999998</v>
      </c>
      <c r="H614">
        <v>152</v>
      </c>
      <c r="I614">
        <v>0.48799999999999999</v>
      </c>
      <c r="J614">
        <v>0.36599999999999999</v>
      </c>
      <c r="K614" t="s">
        <v>2518</v>
      </c>
      <c r="L614">
        <v>3</v>
      </c>
      <c r="M614">
        <v>0.66600000000000004</v>
      </c>
      <c r="N614">
        <v>156.20599999999999</v>
      </c>
      <c r="O614">
        <v>1.58E-3</v>
      </c>
      <c r="P614">
        <v>1</v>
      </c>
      <c r="Q614">
        <v>18</v>
      </c>
      <c r="R614" t="s">
        <v>2303</v>
      </c>
      <c r="S614" t="s">
        <v>2519</v>
      </c>
      <c r="T614">
        <f>I614*-0.5+M614*0.5</f>
        <v>8.9000000000000024E-2</v>
      </c>
      <c r="U614">
        <f>I614*0.7+M614*-0.25+D614*-0.25</f>
        <v>0.13284999999999994</v>
      </c>
      <c r="V614">
        <f>J614*0.5+I614*-0.5</f>
        <v>-6.0999999999999999E-2</v>
      </c>
      <c r="W614">
        <f>M614*0.5+G614*0.25+I614*0.25</f>
        <v>0.60475000000000001</v>
      </c>
    </row>
    <row r="615" spans="1:23" x14ac:dyDescent="0.2">
      <c r="A615">
        <v>4.4299999999999999E-2</v>
      </c>
      <c r="B615">
        <v>8</v>
      </c>
      <c r="C615">
        <v>4</v>
      </c>
      <c r="D615">
        <v>8.1600000000000006E-2</v>
      </c>
      <c r="E615">
        <v>-6.1360000000000001</v>
      </c>
      <c r="F615">
        <v>262773</v>
      </c>
      <c r="G615">
        <v>0.40699999999999997</v>
      </c>
      <c r="H615">
        <v>262</v>
      </c>
      <c r="I615">
        <v>0.61</v>
      </c>
      <c r="J615">
        <v>0.21299999999999999</v>
      </c>
      <c r="K615" t="s">
        <v>1981</v>
      </c>
      <c r="L615">
        <v>49</v>
      </c>
      <c r="M615">
        <v>0.78800000000000003</v>
      </c>
      <c r="N615">
        <v>86.195999999999998</v>
      </c>
      <c r="O615">
        <v>0</v>
      </c>
      <c r="P615">
        <v>1</v>
      </c>
      <c r="Q615">
        <v>21</v>
      </c>
      <c r="R615" t="s">
        <v>1982</v>
      </c>
      <c r="S615" t="s">
        <v>1983</v>
      </c>
      <c r="T615">
        <f>I615*-0.5+M615*0.5</f>
        <v>8.9000000000000024E-2</v>
      </c>
      <c r="U615">
        <f>I615*0.7+M615*-0.25+D615*-0.25</f>
        <v>0.20959999999999998</v>
      </c>
      <c r="V615">
        <f>J615*0.5+I615*-0.5</f>
        <v>-0.19850000000000001</v>
      </c>
      <c r="W615">
        <f>M615*0.5+G615*0.25+I615*0.25</f>
        <v>0.64824999999999999</v>
      </c>
    </row>
    <row r="616" spans="1:23" x14ac:dyDescent="0.2">
      <c r="A616">
        <v>2.9000000000000001E-2</v>
      </c>
      <c r="B616">
        <v>1</v>
      </c>
      <c r="C616">
        <v>4</v>
      </c>
      <c r="D616">
        <v>6.7500000000000004E-2</v>
      </c>
      <c r="E616">
        <v>-7.1139999999999999</v>
      </c>
      <c r="F616">
        <v>276573</v>
      </c>
      <c r="G616">
        <v>0.73099999999999998</v>
      </c>
      <c r="H616">
        <v>275</v>
      </c>
      <c r="I616">
        <v>0.39600000000000002</v>
      </c>
      <c r="J616">
        <v>6.4399999999999999E-2</v>
      </c>
      <c r="K616" t="s">
        <v>1890</v>
      </c>
      <c r="L616">
        <v>3</v>
      </c>
      <c r="M616">
        <v>0.57399999999999995</v>
      </c>
      <c r="N616">
        <v>95.995000000000005</v>
      </c>
      <c r="O616">
        <v>0</v>
      </c>
      <c r="P616">
        <v>1</v>
      </c>
      <c r="Q616">
        <v>6</v>
      </c>
      <c r="R616" t="s">
        <v>1005</v>
      </c>
      <c r="S616" t="s">
        <v>1891</v>
      </c>
      <c r="T616">
        <f>I616*-0.5+M616*0.5</f>
        <v>8.8999999999999968E-2</v>
      </c>
      <c r="U616">
        <f>I616*0.7+M616*-0.25+D616*-0.25</f>
        <v>0.11682500000000001</v>
      </c>
      <c r="V616">
        <f>J616*0.5+I616*-0.5</f>
        <v>-0.1658</v>
      </c>
      <c r="W616">
        <f>M616*0.5+G616*0.25+I616*0.25</f>
        <v>0.56874999999999998</v>
      </c>
    </row>
    <row r="617" spans="1:23" x14ac:dyDescent="0.2">
      <c r="A617">
        <v>0.23699999999999999</v>
      </c>
      <c r="B617">
        <v>2</v>
      </c>
      <c r="C617">
        <v>4</v>
      </c>
      <c r="D617">
        <v>8.43E-2</v>
      </c>
      <c r="E617">
        <v>-4.1219999999999999</v>
      </c>
      <c r="F617">
        <v>196653</v>
      </c>
      <c r="G617">
        <v>0.69599999999999995</v>
      </c>
      <c r="H617">
        <v>194</v>
      </c>
      <c r="I617">
        <v>0.67700000000000005</v>
      </c>
      <c r="J617">
        <v>3.9899999999999996E-3</v>
      </c>
      <c r="K617" t="s">
        <v>1097</v>
      </c>
      <c r="L617">
        <v>39</v>
      </c>
      <c r="M617">
        <v>0.85299999999999998</v>
      </c>
      <c r="N617">
        <v>92.975999999999999</v>
      </c>
      <c r="O617">
        <v>0</v>
      </c>
      <c r="P617">
        <v>1</v>
      </c>
      <c r="Q617">
        <v>19</v>
      </c>
      <c r="R617" t="s">
        <v>1098</v>
      </c>
      <c r="S617" t="s">
        <v>1099</v>
      </c>
      <c r="T617">
        <f>I617*-0.5+M617*0.5</f>
        <v>8.7999999999999967E-2</v>
      </c>
      <c r="U617">
        <f>I617*0.7+M617*-0.25+D617*-0.25</f>
        <v>0.23957499999999998</v>
      </c>
      <c r="V617">
        <f>J617*0.5+I617*-0.5</f>
        <v>-0.336505</v>
      </c>
      <c r="W617">
        <f>M617*0.5+G617*0.25+I617*0.25</f>
        <v>0.76975000000000005</v>
      </c>
    </row>
    <row r="618" spans="1:23" x14ac:dyDescent="0.2">
      <c r="A618">
        <v>5.2400000000000002E-2</v>
      </c>
      <c r="B618">
        <v>2</v>
      </c>
      <c r="C618">
        <v>4</v>
      </c>
      <c r="D618">
        <v>0.17100000000000001</v>
      </c>
      <c r="E618">
        <v>-5.6589999999999998</v>
      </c>
      <c r="F618">
        <v>247427</v>
      </c>
      <c r="G618">
        <v>0.51800000000000002</v>
      </c>
      <c r="H618">
        <v>244</v>
      </c>
      <c r="I618">
        <v>0.60899999999999999</v>
      </c>
      <c r="J618">
        <v>3.46E-3</v>
      </c>
      <c r="K618" t="s">
        <v>1232</v>
      </c>
      <c r="L618">
        <v>48</v>
      </c>
      <c r="M618">
        <v>0.78400000000000003</v>
      </c>
      <c r="N618">
        <v>124.102</v>
      </c>
      <c r="O618">
        <v>1.8699999999999999E-3</v>
      </c>
      <c r="P618">
        <v>1</v>
      </c>
      <c r="Q618">
        <v>8</v>
      </c>
      <c r="R618" t="s">
        <v>670</v>
      </c>
      <c r="S618" t="s">
        <v>1233</v>
      </c>
      <c r="T618">
        <f>I618*-0.5+M618*0.5</f>
        <v>8.7500000000000022E-2</v>
      </c>
      <c r="U618">
        <f>I618*0.7+M618*-0.25+D618*-0.25</f>
        <v>0.18754999999999994</v>
      </c>
      <c r="V618">
        <f>J618*0.5+I618*-0.5</f>
        <v>-0.30276999999999998</v>
      </c>
      <c r="W618">
        <f>M618*0.5+G618*0.25+I618*0.25</f>
        <v>0.67375000000000007</v>
      </c>
    </row>
    <row r="619" spans="1:23" x14ac:dyDescent="0.2">
      <c r="A619">
        <v>3.4200000000000001E-2</v>
      </c>
      <c r="B619">
        <v>0</v>
      </c>
      <c r="C619">
        <v>4</v>
      </c>
      <c r="D619">
        <v>0.28699999999999998</v>
      </c>
      <c r="E619">
        <v>-2.7</v>
      </c>
      <c r="F619">
        <v>190240</v>
      </c>
      <c r="G619">
        <v>0.53300000000000003</v>
      </c>
      <c r="H619">
        <v>189</v>
      </c>
      <c r="I619">
        <v>0.71099999999999997</v>
      </c>
      <c r="J619">
        <v>9.5200000000000007E-2</v>
      </c>
      <c r="K619" t="s">
        <v>1398</v>
      </c>
      <c r="L619">
        <v>58</v>
      </c>
      <c r="M619">
        <v>0.88600000000000001</v>
      </c>
      <c r="N619">
        <v>99.988</v>
      </c>
      <c r="O619">
        <v>0</v>
      </c>
      <c r="P619">
        <v>0</v>
      </c>
      <c r="Q619">
        <v>22</v>
      </c>
      <c r="R619" t="s">
        <v>1399</v>
      </c>
      <c r="S619" t="s">
        <v>1400</v>
      </c>
      <c r="T619">
        <f>I619*-0.5+M619*0.5</f>
        <v>8.7500000000000022E-2</v>
      </c>
      <c r="U619">
        <f>I619*0.7+M619*-0.25+D619*-0.25</f>
        <v>0.20444999999999991</v>
      </c>
      <c r="V619">
        <f>J619*0.5+I619*-0.5</f>
        <v>-0.30789999999999995</v>
      </c>
      <c r="W619">
        <f>M619*0.5+G619*0.25+I619*0.25</f>
        <v>0.754</v>
      </c>
    </row>
    <row r="620" spans="1:23" x14ac:dyDescent="0.2">
      <c r="A620">
        <v>3.3700000000000001E-2</v>
      </c>
      <c r="B620">
        <v>3</v>
      </c>
      <c r="C620">
        <v>4</v>
      </c>
      <c r="D620">
        <v>0.11600000000000001</v>
      </c>
      <c r="E620">
        <v>-12.852</v>
      </c>
      <c r="F620">
        <v>230307</v>
      </c>
      <c r="G620">
        <v>0.39800000000000002</v>
      </c>
      <c r="H620">
        <v>221</v>
      </c>
      <c r="I620">
        <v>0.11</v>
      </c>
      <c r="J620">
        <v>0.96599999999999997</v>
      </c>
      <c r="K620" t="s">
        <v>3124</v>
      </c>
      <c r="L620">
        <v>16</v>
      </c>
      <c r="M620">
        <v>0.28399999999999997</v>
      </c>
      <c r="N620">
        <v>109.599</v>
      </c>
      <c r="O620" s="1">
        <v>8.5699999999999996E-5</v>
      </c>
      <c r="P620">
        <v>1</v>
      </c>
      <c r="Q620">
        <v>12</v>
      </c>
      <c r="R620" t="s">
        <v>623</v>
      </c>
      <c r="S620" t="s">
        <v>3125</v>
      </c>
      <c r="T620">
        <f>I620*-0.5+M620*0.5</f>
        <v>8.6999999999999994E-2</v>
      </c>
      <c r="U620">
        <f>I620*0.7+M620*-0.25+D620*-0.25</f>
        <v>-2.2999999999999996E-2</v>
      </c>
      <c r="V620">
        <f>J620*0.5+I620*-0.5</f>
        <v>0.42799999999999999</v>
      </c>
      <c r="W620">
        <f>M620*0.5+G620*0.25+I620*0.25</f>
        <v>0.26900000000000002</v>
      </c>
    </row>
    <row r="621" spans="1:23" x14ac:dyDescent="0.2">
      <c r="A621">
        <v>4.4499999999999998E-2</v>
      </c>
      <c r="B621">
        <v>11</v>
      </c>
      <c r="C621">
        <v>4</v>
      </c>
      <c r="D621">
        <v>3.9399999999999998E-2</v>
      </c>
      <c r="E621">
        <v>-8.1959999999999997</v>
      </c>
      <c r="F621">
        <v>243533</v>
      </c>
      <c r="G621">
        <v>0.85899999999999999</v>
      </c>
      <c r="H621">
        <v>229</v>
      </c>
      <c r="I621">
        <v>0.44800000000000001</v>
      </c>
      <c r="J621">
        <v>6.6100000000000006E-2</v>
      </c>
      <c r="K621" t="s">
        <v>1821</v>
      </c>
      <c r="L621">
        <v>5</v>
      </c>
      <c r="M621">
        <v>0.622</v>
      </c>
      <c r="N621">
        <v>134.00700000000001</v>
      </c>
      <c r="O621">
        <v>0</v>
      </c>
      <c r="P621">
        <v>1</v>
      </c>
      <c r="Q621">
        <v>4</v>
      </c>
      <c r="R621" t="s">
        <v>1822</v>
      </c>
      <c r="S621" t="s">
        <v>1823</v>
      </c>
      <c r="T621">
        <f>I621*-0.5+M621*0.5</f>
        <v>8.6999999999999994E-2</v>
      </c>
      <c r="U621">
        <f>I621*0.7+M621*-0.25+D621*-0.25</f>
        <v>0.14824999999999999</v>
      </c>
      <c r="V621">
        <f>J621*0.5+I621*-0.5</f>
        <v>-0.19095000000000001</v>
      </c>
      <c r="W621">
        <f>M621*0.5+G621*0.25+I621*0.25</f>
        <v>0.63774999999999993</v>
      </c>
    </row>
    <row r="622" spans="1:23" x14ac:dyDescent="0.2">
      <c r="A622">
        <v>0.24299999999999999</v>
      </c>
      <c r="B622">
        <v>3</v>
      </c>
      <c r="C622">
        <v>4</v>
      </c>
      <c r="D622">
        <v>0.43099999999999999</v>
      </c>
      <c r="E622">
        <v>-6.7229999999999999</v>
      </c>
      <c r="F622">
        <v>424147</v>
      </c>
      <c r="G622">
        <v>0.61099999999999999</v>
      </c>
      <c r="H622">
        <v>286</v>
      </c>
      <c r="I622">
        <v>0.505</v>
      </c>
      <c r="J622">
        <v>7.0099999999999997E-3</v>
      </c>
      <c r="K622" t="s">
        <v>1493</v>
      </c>
      <c r="L622">
        <v>49</v>
      </c>
      <c r="M622">
        <v>0.67800000000000005</v>
      </c>
      <c r="N622">
        <v>137.864</v>
      </c>
      <c r="O622" s="1">
        <v>8.4300000000000006E-6</v>
      </c>
      <c r="P622">
        <v>0</v>
      </c>
      <c r="Q622">
        <v>14</v>
      </c>
      <c r="R622" t="s">
        <v>998</v>
      </c>
      <c r="S622" t="s">
        <v>1494</v>
      </c>
      <c r="T622">
        <f>I622*-0.5+M622*0.5</f>
        <v>8.6500000000000021E-2</v>
      </c>
      <c r="U622">
        <f>I622*0.7+M622*-0.25+D622*-0.25</f>
        <v>7.6249999999999971E-2</v>
      </c>
      <c r="V622">
        <f>J622*0.5+I622*-0.5</f>
        <v>-0.24899499999999999</v>
      </c>
      <c r="W622">
        <f>M622*0.5+G622*0.25+I622*0.25</f>
        <v>0.61799999999999999</v>
      </c>
    </row>
    <row r="623" spans="1:23" x14ac:dyDescent="0.2">
      <c r="A623">
        <v>0.29299999999999998</v>
      </c>
      <c r="B623">
        <v>7</v>
      </c>
      <c r="C623">
        <v>4</v>
      </c>
      <c r="D623">
        <v>0.34200000000000003</v>
      </c>
      <c r="E623">
        <v>-7.4829999999999997</v>
      </c>
      <c r="F623">
        <v>203627</v>
      </c>
      <c r="G623">
        <v>0.77100000000000002</v>
      </c>
      <c r="H623">
        <v>205</v>
      </c>
      <c r="I623">
        <v>0.52</v>
      </c>
      <c r="J623">
        <v>3.1699999999999999E-2</v>
      </c>
      <c r="K623" t="s">
        <v>1569</v>
      </c>
      <c r="L623">
        <v>25</v>
      </c>
      <c r="M623">
        <v>0.69299999999999995</v>
      </c>
      <c r="N623">
        <v>97.162999999999997</v>
      </c>
      <c r="O623">
        <v>0</v>
      </c>
      <c r="P623">
        <v>1</v>
      </c>
      <c r="Q623">
        <v>12</v>
      </c>
      <c r="R623" t="s">
        <v>1570</v>
      </c>
      <c r="S623" t="s">
        <v>1571</v>
      </c>
      <c r="T623">
        <f>I623*-0.5+M623*0.5</f>
        <v>8.6499999999999966E-2</v>
      </c>
      <c r="U623">
        <f>I623*0.7+M623*-0.25+D623*-0.25</f>
        <v>0.10525</v>
      </c>
      <c r="V623">
        <f>J623*0.5+I623*-0.5</f>
        <v>-0.24415000000000001</v>
      </c>
      <c r="W623">
        <f>M623*0.5+G623*0.25+I623*0.25</f>
        <v>0.66925000000000001</v>
      </c>
    </row>
    <row r="624" spans="1:23" x14ac:dyDescent="0.2">
      <c r="A624">
        <v>3.2000000000000001E-2</v>
      </c>
      <c r="B624">
        <v>11</v>
      </c>
      <c r="C624">
        <v>4</v>
      </c>
      <c r="D624">
        <v>0.187</v>
      </c>
      <c r="E624">
        <v>-6.569</v>
      </c>
      <c r="F624">
        <v>214480</v>
      </c>
      <c r="G624">
        <v>0.65200000000000002</v>
      </c>
      <c r="H624">
        <v>211</v>
      </c>
      <c r="I624">
        <v>0.52400000000000002</v>
      </c>
      <c r="J624">
        <v>2.8400000000000002E-4</v>
      </c>
      <c r="K624" t="s">
        <v>1426</v>
      </c>
      <c r="L624">
        <v>53</v>
      </c>
      <c r="M624">
        <v>0.69599999999999995</v>
      </c>
      <c r="N624">
        <v>133.99799999999999</v>
      </c>
      <c r="O624">
        <v>0</v>
      </c>
      <c r="P624">
        <v>0</v>
      </c>
      <c r="Q624">
        <v>20</v>
      </c>
      <c r="R624" t="s">
        <v>1427</v>
      </c>
      <c r="S624" t="s">
        <v>1428</v>
      </c>
      <c r="T624">
        <f>I624*-0.5+M624*0.5</f>
        <v>8.5999999999999965E-2</v>
      </c>
      <c r="U624">
        <f>I624*0.7+M624*-0.25+D624*-0.25</f>
        <v>0.14605000000000001</v>
      </c>
      <c r="V624">
        <f>J624*0.5+I624*-0.5</f>
        <v>-0.26185800000000004</v>
      </c>
      <c r="W624">
        <f>M624*0.5+G624*0.25+I624*0.25</f>
        <v>0.64200000000000002</v>
      </c>
    </row>
    <row r="625" spans="1:23" x14ac:dyDescent="0.2">
      <c r="A625">
        <v>0.17299999999999999</v>
      </c>
      <c r="B625">
        <v>1</v>
      </c>
      <c r="C625">
        <v>4</v>
      </c>
      <c r="D625">
        <v>0.629</v>
      </c>
      <c r="E625">
        <v>-3.823</v>
      </c>
      <c r="F625">
        <v>210293</v>
      </c>
      <c r="G625">
        <v>0.71899999999999997</v>
      </c>
      <c r="H625">
        <v>208</v>
      </c>
      <c r="I625">
        <v>0.66300000000000003</v>
      </c>
      <c r="J625">
        <v>8.43E-2</v>
      </c>
      <c r="K625" t="s">
        <v>1470</v>
      </c>
      <c r="L625">
        <v>48</v>
      </c>
      <c r="M625">
        <v>0.83499999999999996</v>
      </c>
      <c r="N625">
        <v>127.91800000000001</v>
      </c>
      <c r="O625">
        <v>0</v>
      </c>
      <c r="P625">
        <v>0</v>
      </c>
      <c r="Q625">
        <v>11</v>
      </c>
      <c r="R625" t="s">
        <v>140</v>
      </c>
      <c r="S625" t="s">
        <v>1471</v>
      </c>
      <c r="T625">
        <f>I625*-0.5+M625*0.5</f>
        <v>8.5999999999999965E-2</v>
      </c>
      <c r="U625">
        <f>I625*0.7+M625*-0.25+D625*-0.25</f>
        <v>9.8100000000000021E-2</v>
      </c>
      <c r="V625">
        <f>J625*0.5+I625*-0.5</f>
        <v>-0.28935</v>
      </c>
      <c r="W625">
        <f>M625*0.5+G625*0.25+I625*0.25</f>
        <v>0.7629999999999999</v>
      </c>
    </row>
    <row r="626" spans="1:23" x14ac:dyDescent="0.2">
      <c r="A626">
        <v>5.1999999999999998E-2</v>
      </c>
      <c r="B626">
        <v>9</v>
      </c>
      <c r="C626">
        <v>4</v>
      </c>
      <c r="D626">
        <v>7.7799999999999994E-2</v>
      </c>
      <c r="E626">
        <v>-6.2990000000000004</v>
      </c>
      <c r="F626">
        <v>207507</v>
      </c>
      <c r="G626">
        <v>0.65200000000000002</v>
      </c>
      <c r="H626">
        <v>208</v>
      </c>
      <c r="I626">
        <v>0.38</v>
      </c>
      <c r="J626">
        <v>0.28899999999999998</v>
      </c>
      <c r="K626" t="s">
        <v>2493</v>
      </c>
      <c r="L626">
        <v>21</v>
      </c>
      <c r="M626">
        <v>0.55100000000000005</v>
      </c>
      <c r="N626">
        <v>79.995000000000005</v>
      </c>
      <c r="O626">
        <v>0</v>
      </c>
      <c r="P626">
        <v>1</v>
      </c>
      <c r="Q626">
        <v>2</v>
      </c>
      <c r="R626" t="s">
        <v>2494</v>
      </c>
      <c r="S626" t="s">
        <v>2495</v>
      </c>
      <c r="T626">
        <f>I626*-0.5+M626*0.5</f>
        <v>8.550000000000002E-2</v>
      </c>
      <c r="U626">
        <f>I626*0.7+M626*-0.25+D626*-0.25</f>
        <v>0.10879999999999995</v>
      </c>
      <c r="V626">
        <f>J626*0.5+I626*-0.5</f>
        <v>-4.5500000000000013E-2</v>
      </c>
      <c r="W626">
        <f>M626*0.5+G626*0.25+I626*0.25</f>
        <v>0.53349999999999997</v>
      </c>
    </row>
    <row r="627" spans="1:23" x14ac:dyDescent="0.2">
      <c r="A627">
        <v>6.7699999999999996E-2</v>
      </c>
      <c r="B627">
        <v>11</v>
      </c>
      <c r="C627">
        <v>4</v>
      </c>
      <c r="D627">
        <v>2.46E-2</v>
      </c>
      <c r="E627">
        <v>-5.282</v>
      </c>
      <c r="F627">
        <v>222533</v>
      </c>
      <c r="G627">
        <v>0.60299999999999998</v>
      </c>
      <c r="H627">
        <v>218</v>
      </c>
      <c r="I627">
        <v>0.69299999999999995</v>
      </c>
      <c r="J627">
        <v>1.47E-2</v>
      </c>
      <c r="K627" t="s">
        <v>1137</v>
      </c>
      <c r="L627">
        <v>11</v>
      </c>
      <c r="M627">
        <v>0.86399999999999999</v>
      </c>
      <c r="N627">
        <v>179.34399999999999</v>
      </c>
      <c r="O627">
        <v>0</v>
      </c>
      <c r="P627">
        <v>0</v>
      </c>
      <c r="Q627">
        <v>7</v>
      </c>
      <c r="R627" t="s">
        <v>1138</v>
      </c>
      <c r="S627" t="s">
        <v>1139</v>
      </c>
      <c r="T627">
        <f>I627*-0.5+M627*0.5</f>
        <v>8.550000000000002E-2</v>
      </c>
      <c r="U627">
        <f>I627*0.7+M627*-0.25+D627*-0.25</f>
        <v>0.26294999999999991</v>
      </c>
      <c r="V627">
        <f>J627*0.5+I627*-0.5</f>
        <v>-0.33914999999999995</v>
      </c>
      <c r="W627">
        <f>M627*0.5+G627*0.25+I627*0.25</f>
        <v>0.75600000000000001</v>
      </c>
    </row>
    <row r="628" spans="1:23" x14ac:dyDescent="0.2">
      <c r="A628">
        <v>7.5999999999999998E-2</v>
      </c>
      <c r="B628">
        <v>11</v>
      </c>
      <c r="C628">
        <v>4</v>
      </c>
      <c r="D628">
        <v>8.8200000000000001E-2</v>
      </c>
      <c r="E628">
        <v>-4.2439999999999998</v>
      </c>
      <c r="F628">
        <v>201000</v>
      </c>
      <c r="G628">
        <v>0.79100000000000004</v>
      </c>
      <c r="H628">
        <v>194</v>
      </c>
      <c r="I628">
        <v>0.55400000000000005</v>
      </c>
      <c r="J628">
        <v>1.11E-2</v>
      </c>
      <c r="K628" t="s">
        <v>1422</v>
      </c>
      <c r="L628">
        <v>16</v>
      </c>
      <c r="M628">
        <v>0.72499999999999998</v>
      </c>
      <c r="N628">
        <v>84.57</v>
      </c>
      <c r="O628">
        <v>1.9100000000000001E-4</v>
      </c>
      <c r="P628">
        <v>0</v>
      </c>
      <c r="Q628">
        <v>5</v>
      </c>
      <c r="R628" t="s">
        <v>320</v>
      </c>
      <c r="S628" t="s">
        <v>1423</v>
      </c>
      <c r="T628">
        <f>I628*-0.5+M628*0.5</f>
        <v>8.5499999999999965E-2</v>
      </c>
      <c r="U628">
        <f>I628*0.7+M628*-0.25+D628*-0.25</f>
        <v>0.18450000000000005</v>
      </c>
      <c r="V628">
        <f>J628*0.5+I628*-0.5</f>
        <v>-0.27145000000000002</v>
      </c>
      <c r="W628">
        <f>M628*0.5+G628*0.25+I628*0.25</f>
        <v>0.69874999999999998</v>
      </c>
    </row>
    <row r="629" spans="1:23" x14ac:dyDescent="0.2">
      <c r="A629">
        <v>4.0599999999999997E-2</v>
      </c>
      <c r="B629">
        <v>8</v>
      </c>
      <c r="C629">
        <v>4</v>
      </c>
      <c r="D629">
        <v>0.127</v>
      </c>
      <c r="E629">
        <v>-4.8929999999999998</v>
      </c>
      <c r="F629">
        <v>204150</v>
      </c>
      <c r="G629">
        <v>0.73399999999999999</v>
      </c>
      <c r="H629">
        <v>204</v>
      </c>
      <c r="I629">
        <v>0.65</v>
      </c>
      <c r="J629">
        <v>7.0899999999999999E-3</v>
      </c>
      <c r="K629" t="s">
        <v>1193</v>
      </c>
      <c r="L629">
        <v>37</v>
      </c>
      <c r="M629">
        <v>0.82099999999999995</v>
      </c>
      <c r="N629">
        <v>119.99299999999999</v>
      </c>
      <c r="O629">
        <v>2.81E-3</v>
      </c>
      <c r="P629">
        <v>1</v>
      </c>
      <c r="Q629">
        <v>5</v>
      </c>
      <c r="R629" t="s">
        <v>237</v>
      </c>
      <c r="S629" t="s">
        <v>1194</v>
      </c>
      <c r="T629">
        <f>I629*-0.5+M629*0.5</f>
        <v>8.5499999999999965E-2</v>
      </c>
      <c r="U629">
        <f>I629*0.7+M629*-0.25+D629*-0.25</f>
        <v>0.21799999999999997</v>
      </c>
      <c r="V629">
        <f>J629*0.5+I629*-0.5</f>
        <v>-0.32145499999999999</v>
      </c>
      <c r="W629">
        <f>M629*0.5+G629*0.25+I629*0.25</f>
        <v>0.75649999999999995</v>
      </c>
    </row>
    <row r="630" spans="1:23" x14ac:dyDescent="0.2">
      <c r="A630">
        <v>9.8100000000000007E-2</v>
      </c>
      <c r="B630">
        <v>11</v>
      </c>
      <c r="C630">
        <v>4</v>
      </c>
      <c r="D630">
        <v>0.13900000000000001</v>
      </c>
      <c r="E630">
        <v>-4.0869999999999997</v>
      </c>
      <c r="F630">
        <v>204160</v>
      </c>
      <c r="G630">
        <v>0.58099999999999996</v>
      </c>
      <c r="H630">
        <v>202</v>
      </c>
      <c r="I630">
        <v>0.79200000000000004</v>
      </c>
      <c r="J630">
        <v>2.9499999999999998E-2</v>
      </c>
      <c r="K630" t="s">
        <v>991</v>
      </c>
      <c r="L630">
        <v>49</v>
      </c>
      <c r="M630">
        <v>0.96299999999999997</v>
      </c>
      <c r="N630">
        <v>129.99199999999999</v>
      </c>
      <c r="O630">
        <v>0</v>
      </c>
      <c r="P630">
        <v>1</v>
      </c>
      <c r="Q630">
        <v>1</v>
      </c>
      <c r="R630" t="s">
        <v>992</v>
      </c>
      <c r="S630" t="s">
        <v>993</v>
      </c>
      <c r="T630">
        <f>I630*-0.5+M630*0.5</f>
        <v>8.5499999999999965E-2</v>
      </c>
      <c r="U630">
        <f>I630*0.7+M630*-0.25+D630*-0.25</f>
        <v>0.27889999999999998</v>
      </c>
      <c r="V630">
        <f>J630*0.5+I630*-0.5</f>
        <v>-0.38125000000000003</v>
      </c>
      <c r="W630">
        <f>M630*0.5+G630*0.25+I630*0.25</f>
        <v>0.82474999999999987</v>
      </c>
    </row>
    <row r="631" spans="1:23" x14ac:dyDescent="0.2">
      <c r="A631">
        <v>4.2299999999999997E-2</v>
      </c>
      <c r="B631">
        <v>0</v>
      </c>
      <c r="C631">
        <v>4</v>
      </c>
      <c r="D631">
        <v>0.32300000000000001</v>
      </c>
      <c r="E631">
        <v>-9.2520000000000007</v>
      </c>
      <c r="F631">
        <v>247067</v>
      </c>
      <c r="G631">
        <v>0.86599999999999999</v>
      </c>
      <c r="H631">
        <v>236</v>
      </c>
      <c r="I631">
        <v>0.29099999999999998</v>
      </c>
      <c r="J631">
        <v>4.4200000000000003E-2</v>
      </c>
      <c r="K631" t="s">
        <v>2015</v>
      </c>
      <c r="L631">
        <v>24</v>
      </c>
      <c r="M631">
        <v>0.46</v>
      </c>
      <c r="N631">
        <v>99.98</v>
      </c>
      <c r="O631">
        <v>0</v>
      </c>
      <c r="P631">
        <v>1</v>
      </c>
      <c r="Q631">
        <v>6</v>
      </c>
      <c r="R631" t="s">
        <v>2016</v>
      </c>
      <c r="S631" t="s">
        <v>2017</v>
      </c>
      <c r="T631">
        <f>I631*-0.5+M631*0.5</f>
        <v>8.450000000000002E-2</v>
      </c>
      <c r="U631">
        <f>I631*0.7+M631*-0.25+D631*-0.25</f>
        <v>7.9499999999999571E-3</v>
      </c>
      <c r="V631">
        <f>J631*0.5+I631*-0.5</f>
        <v>-0.12339999999999998</v>
      </c>
      <c r="W631">
        <f>M631*0.5+G631*0.25+I631*0.25</f>
        <v>0.51924999999999999</v>
      </c>
    </row>
    <row r="632" spans="1:23" x14ac:dyDescent="0.2">
      <c r="A632">
        <v>3.0700000000000002E-2</v>
      </c>
      <c r="B632">
        <v>2</v>
      </c>
      <c r="C632">
        <v>4</v>
      </c>
      <c r="D632">
        <v>8.7499999999999994E-2</v>
      </c>
      <c r="E632">
        <v>-5.3570000000000002</v>
      </c>
      <c r="F632">
        <v>300773</v>
      </c>
      <c r="G632">
        <v>0.61799999999999999</v>
      </c>
      <c r="H632">
        <v>301</v>
      </c>
      <c r="I632">
        <v>0.72699999999999998</v>
      </c>
      <c r="J632">
        <v>0.17100000000000001</v>
      </c>
      <c r="K632" t="s">
        <v>1736</v>
      </c>
      <c r="L632">
        <v>2</v>
      </c>
      <c r="M632">
        <v>0.89600000000000002</v>
      </c>
      <c r="N632">
        <v>113.961</v>
      </c>
      <c r="O632">
        <v>0</v>
      </c>
      <c r="P632">
        <v>1</v>
      </c>
      <c r="Q632">
        <v>2</v>
      </c>
      <c r="R632" t="s">
        <v>1737</v>
      </c>
      <c r="S632" t="s">
        <v>1738</v>
      </c>
      <c r="T632">
        <f>I632*-0.5+M632*0.5</f>
        <v>8.450000000000002E-2</v>
      </c>
      <c r="U632">
        <f>I632*0.7+M632*-0.25+D632*-0.25</f>
        <v>0.26302499999999995</v>
      </c>
      <c r="V632">
        <f>J632*0.5+I632*-0.5</f>
        <v>-0.27799999999999997</v>
      </c>
      <c r="W632">
        <f>M632*0.5+G632*0.25+I632*0.25</f>
        <v>0.78425</v>
      </c>
    </row>
    <row r="633" spans="1:23" x14ac:dyDescent="0.2">
      <c r="A633">
        <v>3.9899999999999998E-2</v>
      </c>
      <c r="B633">
        <v>5</v>
      </c>
      <c r="C633">
        <v>4</v>
      </c>
      <c r="D633">
        <v>8.2199999999999995E-2</v>
      </c>
      <c r="E633">
        <v>-6.3330000000000002</v>
      </c>
      <c r="F633">
        <v>259333</v>
      </c>
      <c r="G633">
        <v>0.70599999999999996</v>
      </c>
      <c r="H633">
        <v>231</v>
      </c>
      <c r="I633">
        <v>0.63300000000000001</v>
      </c>
      <c r="J633">
        <v>5.77E-3</v>
      </c>
      <c r="K633" t="s">
        <v>1236</v>
      </c>
      <c r="L633">
        <v>21</v>
      </c>
      <c r="M633">
        <v>0.80100000000000005</v>
      </c>
      <c r="N633">
        <v>100.01300000000001</v>
      </c>
      <c r="O633">
        <v>0</v>
      </c>
      <c r="P633">
        <v>1</v>
      </c>
      <c r="Q633">
        <v>13</v>
      </c>
      <c r="R633" t="s">
        <v>1237</v>
      </c>
      <c r="S633" t="s">
        <v>1238</v>
      </c>
      <c r="T633">
        <f>I633*-0.5+M633*0.5</f>
        <v>8.4000000000000019E-2</v>
      </c>
      <c r="U633">
        <f>I633*0.7+M633*-0.25+D633*-0.25</f>
        <v>0.2223</v>
      </c>
      <c r="V633">
        <f>J633*0.5+I633*-0.5</f>
        <v>-0.31361499999999998</v>
      </c>
      <c r="W633">
        <f>M633*0.5+G633*0.25+I633*0.25</f>
        <v>0.73524999999999996</v>
      </c>
    </row>
    <row r="634" spans="1:23" x14ac:dyDescent="0.2">
      <c r="A634">
        <v>5.2699999999999997E-2</v>
      </c>
      <c r="B634">
        <v>11</v>
      </c>
      <c r="C634">
        <v>4</v>
      </c>
      <c r="D634">
        <v>0.13300000000000001</v>
      </c>
      <c r="E634">
        <v>-4.1619999999999999</v>
      </c>
      <c r="F634">
        <v>195280</v>
      </c>
      <c r="G634">
        <v>0.71099999999999997</v>
      </c>
      <c r="H634">
        <v>192</v>
      </c>
      <c r="I634">
        <v>0.76</v>
      </c>
      <c r="J634">
        <v>2.3900000000000001E-2</v>
      </c>
      <c r="K634" t="s">
        <v>1046</v>
      </c>
      <c r="L634">
        <v>40</v>
      </c>
      <c r="M634">
        <v>0.92800000000000005</v>
      </c>
      <c r="N634">
        <v>127.047</v>
      </c>
      <c r="O634">
        <v>2.7799999999999998E-4</v>
      </c>
      <c r="P634">
        <v>0</v>
      </c>
      <c r="Q634">
        <v>5</v>
      </c>
      <c r="R634" t="s">
        <v>1047</v>
      </c>
      <c r="S634" t="s">
        <v>1048</v>
      </c>
      <c r="T634">
        <f>I634*-0.5+M634*0.5</f>
        <v>8.4000000000000019E-2</v>
      </c>
      <c r="U634">
        <f>I634*0.7+M634*-0.25+D634*-0.25</f>
        <v>0.26674999999999993</v>
      </c>
      <c r="V634">
        <f>J634*0.5+I634*-0.5</f>
        <v>-0.36804999999999999</v>
      </c>
      <c r="W634">
        <f>M634*0.5+G634*0.25+I634*0.25</f>
        <v>0.83174999999999999</v>
      </c>
    </row>
    <row r="635" spans="1:23" x14ac:dyDescent="0.2">
      <c r="A635">
        <v>4.9500000000000002E-2</v>
      </c>
      <c r="B635">
        <v>4</v>
      </c>
      <c r="C635">
        <v>4</v>
      </c>
      <c r="D635">
        <v>0.14899999999999999</v>
      </c>
      <c r="E635">
        <v>-2.8</v>
      </c>
      <c r="F635">
        <v>195267</v>
      </c>
      <c r="G635">
        <v>0.67600000000000005</v>
      </c>
      <c r="H635">
        <v>189</v>
      </c>
      <c r="I635">
        <v>0.76300000000000001</v>
      </c>
      <c r="J635">
        <v>6.6799999999999998E-2</v>
      </c>
      <c r="K635" t="s">
        <v>1204</v>
      </c>
      <c r="L635">
        <v>39</v>
      </c>
      <c r="M635">
        <v>0.93100000000000005</v>
      </c>
      <c r="N635">
        <v>101.018</v>
      </c>
      <c r="O635">
        <v>0</v>
      </c>
      <c r="P635">
        <v>1</v>
      </c>
      <c r="Q635">
        <v>11</v>
      </c>
      <c r="R635" t="s">
        <v>1205</v>
      </c>
      <c r="S635" t="s">
        <v>1206</v>
      </c>
      <c r="T635">
        <f>I635*-0.5+M635*0.5</f>
        <v>8.4000000000000019E-2</v>
      </c>
      <c r="U635">
        <f>I635*0.7+M635*-0.25+D635*-0.25</f>
        <v>0.2641</v>
      </c>
      <c r="V635">
        <f>J635*0.5+I635*-0.5</f>
        <v>-0.34810000000000002</v>
      </c>
      <c r="W635">
        <f>M635*0.5+G635*0.25+I635*0.25</f>
        <v>0.82525000000000004</v>
      </c>
    </row>
    <row r="636" spans="1:23" x14ac:dyDescent="0.2">
      <c r="A636">
        <v>5.0599999999999999E-2</v>
      </c>
      <c r="B636">
        <v>6</v>
      </c>
      <c r="C636">
        <v>4</v>
      </c>
      <c r="D636">
        <v>0.13</v>
      </c>
      <c r="E636">
        <v>-4.2510000000000003</v>
      </c>
      <c r="F636">
        <v>234173</v>
      </c>
      <c r="G636">
        <v>0.58399999999999996</v>
      </c>
      <c r="H636">
        <v>233</v>
      </c>
      <c r="I636">
        <v>0.53200000000000003</v>
      </c>
      <c r="J636">
        <v>0.51200000000000001</v>
      </c>
      <c r="K636" t="s">
        <v>2769</v>
      </c>
      <c r="L636">
        <v>29</v>
      </c>
      <c r="M636">
        <v>0.7</v>
      </c>
      <c r="N636">
        <v>163.953</v>
      </c>
      <c r="O636" s="1">
        <v>2.4300000000000001E-5</v>
      </c>
      <c r="P636">
        <v>1</v>
      </c>
      <c r="Q636">
        <v>14</v>
      </c>
      <c r="R636" t="s">
        <v>1186</v>
      </c>
      <c r="S636" t="s">
        <v>2770</v>
      </c>
      <c r="T636">
        <f>I636*-0.5+M636*0.5</f>
        <v>8.3999999999999964E-2</v>
      </c>
      <c r="U636">
        <f>I636*0.7+M636*-0.25+D636*-0.25</f>
        <v>0.16490000000000002</v>
      </c>
      <c r="V636">
        <f>J636*0.5+I636*-0.5</f>
        <v>-1.0000000000000009E-2</v>
      </c>
      <c r="W636">
        <f>M636*0.5+G636*0.25+I636*0.25</f>
        <v>0.629</v>
      </c>
    </row>
    <row r="637" spans="1:23" x14ac:dyDescent="0.2">
      <c r="A637">
        <v>0.20100000000000001</v>
      </c>
      <c r="B637">
        <v>7</v>
      </c>
      <c r="C637">
        <v>4</v>
      </c>
      <c r="D637">
        <v>9.4399999999999998E-2</v>
      </c>
      <c r="E637">
        <v>-8.32</v>
      </c>
      <c r="F637">
        <v>246960</v>
      </c>
      <c r="G637">
        <v>0.76800000000000002</v>
      </c>
      <c r="H637">
        <v>213</v>
      </c>
      <c r="I637">
        <v>0.47399999999999998</v>
      </c>
      <c r="J637">
        <v>2.2800000000000001E-4</v>
      </c>
      <c r="K637" t="s">
        <v>1577</v>
      </c>
      <c r="L637">
        <v>20</v>
      </c>
      <c r="M637">
        <v>0.64100000000000001</v>
      </c>
      <c r="N637">
        <v>98.974000000000004</v>
      </c>
      <c r="O637">
        <v>5.71E-4</v>
      </c>
      <c r="P637">
        <v>1</v>
      </c>
      <c r="Q637">
        <v>4</v>
      </c>
      <c r="R637" t="s">
        <v>638</v>
      </c>
      <c r="S637" t="s">
        <v>1578</v>
      </c>
      <c r="T637">
        <f>I637*-0.5+M637*0.5</f>
        <v>8.3500000000000019E-2</v>
      </c>
      <c r="U637">
        <f>I637*0.7+M637*-0.25+D637*-0.25</f>
        <v>0.14794999999999997</v>
      </c>
      <c r="V637">
        <f>J637*0.5+I637*-0.5</f>
        <v>-0.23688599999999999</v>
      </c>
      <c r="W637">
        <f>M637*0.5+G637*0.25+I637*0.25</f>
        <v>0.63100000000000001</v>
      </c>
    </row>
    <row r="638" spans="1:23" x14ac:dyDescent="0.2">
      <c r="A638">
        <v>4.1700000000000001E-2</v>
      </c>
      <c r="B638">
        <v>3</v>
      </c>
      <c r="C638">
        <v>4</v>
      </c>
      <c r="D638">
        <v>0.13300000000000001</v>
      </c>
      <c r="E638">
        <v>-6.72</v>
      </c>
      <c r="F638">
        <v>228347</v>
      </c>
      <c r="G638">
        <v>0.59099999999999997</v>
      </c>
      <c r="H638">
        <v>225</v>
      </c>
      <c r="I638">
        <v>0.48199999999999998</v>
      </c>
      <c r="J638">
        <v>2.9399999999999999E-2</v>
      </c>
      <c r="K638" t="s">
        <v>1679</v>
      </c>
      <c r="L638">
        <v>33</v>
      </c>
      <c r="M638">
        <v>0.64900000000000002</v>
      </c>
      <c r="N638">
        <v>90.001999999999995</v>
      </c>
      <c r="O638">
        <v>0</v>
      </c>
      <c r="P638">
        <v>1</v>
      </c>
      <c r="Q638">
        <v>9</v>
      </c>
      <c r="R638" t="s">
        <v>1680</v>
      </c>
      <c r="S638" t="s">
        <v>1681</v>
      </c>
      <c r="T638">
        <f>I638*-0.5+M638*0.5</f>
        <v>8.3500000000000019E-2</v>
      </c>
      <c r="U638">
        <f>I638*0.7+M638*-0.25+D638*-0.25</f>
        <v>0.14189999999999997</v>
      </c>
      <c r="V638">
        <f>J638*0.5+I638*-0.5</f>
        <v>-0.2263</v>
      </c>
      <c r="W638">
        <f>M638*0.5+G638*0.25+I638*0.25</f>
        <v>0.59275</v>
      </c>
    </row>
    <row r="639" spans="1:23" x14ac:dyDescent="0.2">
      <c r="A639">
        <v>6.6799999999999998E-2</v>
      </c>
      <c r="B639">
        <v>1</v>
      </c>
      <c r="C639">
        <v>4</v>
      </c>
      <c r="D639">
        <v>0.05</v>
      </c>
      <c r="E639">
        <v>-7.0529999999999999</v>
      </c>
      <c r="F639">
        <v>264400</v>
      </c>
      <c r="G639">
        <v>0.746</v>
      </c>
      <c r="H639">
        <v>266</v>
      </c>
      <c r="I639">
        <v>0.46200000000000002</v>
      </c>
      <c r="J639">
        <v>0.218</v>
      </c>
      <c r="K639" t="s">
        <v>2250</v>
      </c>
      <c r="L639">
        <v>3</v>
      </c>
      <c r="M639">
        <v>0.629</v>
      </c>
      <c r="N639">
        <v>111.566</v>
      </c>
      <c r="O639">
        <v>0</v>
      </c>
      <c r="P639">
        <v>0</v>
      </c>
      <c r="Q639">
        <v>13</v>
      </c>
      <c r="R639" t="s">
        <v>2251</v>
      </c>
      <c r="S639" t="s">
        <v>2252</v>
      </c>
      <c r="T639">
        <f>I639*-0.5+M639*0.5</f>
        <v>8.3499999999999991E-2</v>
      </c>
      <c r="U639">
        <f>I639*0.7+M639*-0.25+D639*-0.25</f>
        <v>0.15365000000000001</v>
      </c>
      <c r="V639">
        <f>J639*0.5+I639*-0.5</f>
        <v>-0.12200000000000001</v>
      </c>
      <c r="W639">
        <f>M639*0.5+G639*0.25+I639*0.25</f>
        <v>0.61650000000000005</v>
      </c>
    </row>
    <row r="640" spans="1:23" x14ac:dyDescent="0.2">
      <c r="A640">
        <v>4.2299999999999997E-2</v>
      </c>
      <c r="B640">
        <v>9</v>
      </c>
      <c r="C640">
        <v>4</v>
      </c>
      <c r="D640">
        <v>9.4700000000000006E-2</v>
      </c>
      <c r="E640">
        <v>-5.407</v>
      </c>
      <c r="F640">
        <v>213520</v>
      </c>
      <c r="G640">
        <v>0.71099999999999997</v>
      </c>
      <c r="H640">
        <v>211</v>
      </c>
      <c r="I640">
        <v>0.61699999999999999</v>
      </c>
      <c r="J640">
        <v>0.109</v>
      </c>
      <c r="K640" t="s">
        <v>1732</v>
      </c>
      <c r="L640">
        <v>56</v>
      </c>
      <c r="M640">
        <v>0.78300000000000003</v>
      </c>
      <c r="N640">
        <v>107.97199999999999</v>
      </c>
      <c r="O640">
        <v>0</v>
      </c>
      <c r="P640">
        <v>0</v>
      </c>
      <c r="Q640">
        <v>2</v>
      </c>
      <c r="R640" t="s">
        <v>900</v>
      </c>
      <c r="S640" t="s">
        <v>1733</v>
      </c>
      <c r="T640">
        <f>I640*-0.5+M640*0.5</f>
        <v>8.3000000000000018E-2</v>
      </c>
      <c r="U640">
        <f>I640*0.7+M640*-0.25+D640*-0.25</f>
        <v>0.21247499999999994</v>
      </c>
      <c r="V640">
        <f>J640*0.5+I640*-0.5</f>
        <v>-0.254</v>
      </c>
      <c r="W640">
        <f>M640*0.5+G640*0.25+I640*0.25</f>
        <v>0.72350000000000003</v>
      </c>
    </row>
    <row r="641" spans="1:23" x14ac:dyDescent="0.2">
      <c r="A641">
        <v>3.39E-2</v>
      </c>
      <c r="B641">
        <v>5</v>
      </c>
      <c r="C641">
        <v>4</v>
      </c>
      <c r="D641">
        <v>8.3400000000000002E-2</v>
      </c>
      <c r="E641">
        <v>-3.4390000000000001</v>
      </c>
      <c r="F641">
        <v>219467</v>
      </c>
      <c r="G641">
        <v>0.71</v>
      </c>
      <c r="H641">
        <v>219</v>
      </c>
      <c r="I641">
        <v>0.63400000000000001</v>
      </c>
      <c r="J641">
        <v>5.6300000000000003E-2</v>
      </c>
      <c r="K641" t="s">
        <v>1447</v>
      </c>
      <c r="L641">
        <v>44</v>
      </c>
      <c r="M641">
        <v>0.8</v>
      </c>
      <c r="N641">
        <v>93.01</v>
      </c>
      <c r="O641">
        <v>0</v>
      </c>
      <c r="P641">
        <v>0</v>
      </c>
      <c r="Q641">
        <v>5</v>
      </c>
      <c r="R641" t="s">
        <v>108</v>
      </c>
      <c r="S641" t="s">
        <v>1448</v>
      </c>
      <c r="T641">
        <f>I641*-0.5+M641*0.5</f>
        <v>8.3000000000000018E-2</v>
      </c>
      <c r="U641">
        <f>I641*0.7+M641*-0.25+D641*-0.25</f>
        <v>0.22294999999999995</v>
      </c>
      <c r="V641">
        <f>J641*0.5+I641*-0.5</f>
        <v>-0.28885</v>
      </c>
      <c r="W641">
        <f>M641*0.5+G641*0.25+I641*0.25</f>
        <v>0.73599999999999999</v>
      </c>
    </row>
    <row r="642" spans="1:23" x14ac:dyDescent="0.2">
      <c r="A642">
        <v>3.5499999999999997E-2</v>
      </c>
      <c r="B642">
        <v>2</v>
      </c>
      <c r="C642">
        <v>4</v>
      </c>
      <c r="D642">
        <v>0.14099999999999999</v>
      </c>
      <c r="E642">
        <v>-3.1659999999999999</v>
      </c>
      <c r="F642">
        <v>229533</v>
      </c>
      <c r="G642">
        <v>0.58699999999999997</v>
      </c>
      <c r="H642">
        <v>224</v>
      </c>
      <c r="I642">
        <v>0.72899999999999998</v>
      </c>
      <c r="J642">
        <v>5.9400000000000001E-2</v>
      </c>
      <c r="K642" t="s">
        <v>1263</v>
      </c>
      <c r="L642">
        <v>17</v>
      </c>
      <c r="M642">
        <v>0.89500000000000002</v>
      </c>
      <c r="N642">
        <v>131.96199999999999</v>
      </c>
      <c r="O642">
        <v>0</v>
      </c>
      <c r="P642">
        <v>1</v>
      </c>
      <c r="Q642">
        <v>20</v>
      </c>
      <c r="R642" t="s">
        <v>802</v>
      </c>
      <c r="S642" t="s">
        <v>204</v>
      </c>
      <c r="T642">
        <f>I642*-0.5+M642*0.5</f>
        <v>8.3000000000000018E-2</v>
      </c>
      <c r="U642">
        <f>I642*0.7+M642*-0.25+D642*-0.25</f>
        <v>0.25129999999999997</v>
      </c>
      <c r="V642">
        <f>J642*0.5+I642*-0.5</f>
        <v>-0.33479999999999999</v>
      </c>
      <c r="W642">
        <f>M642*0.5+G642*0.25+I642*0.25</f>
        <v>0.77649999999999997</v>
      </c>
    </row>
    <row r="643" spans="1:23" x14ac:dyDescent="0.2">
      <c r="A643">
        <v>2.9700000000000001E-2</v>
      </c>
      <c r="B643">
        <v>1</v>
      </c>
      <c r="C643">
        <v>4</v>
      </c>
      <c r="D643">
        <v>6.9599999999999995E-2</v>
      </c>
      <c r="E643">
        <v>-5.282</v>
      </c>
      <c r="F643">
        <v>186893</v>
      </c>
      <c r="G643">
        <v>0.373</v>
      </c>
      <c r="H643">
        <v>185</v>
      </c>
      <c r="I643">
        <v>0.57199999999999995</v>
      </c>
      <c r="J643" s="1">
        <v>9.3999999999999998E-6</v>
      </c>
      <c r="K643" t="s">
        <v>1343</v>
      </c>
      <c r="L643">
        <v>16</v>
      </c>
      <c r="M643">
        <v>0.73699999999999999</v>
      </c>
      <c r="N643">
        <v>177.9</v>
      </c>
      <c r="O643">
        <v>0</v>
      </c>
      <c r="P643">
        <v>1</v>
      </c>
      <c r="Q643">
        <v>17</v>
      </c>
      <c r="R643" t="s">
        <v>158</v>
      </c>
      <c r="S643" t="s">
        <v>1344</v>
      </c>
      <c r="T643">
        <f>I643*-0.5+M643*0.5</f>
        <v>8.2500000000000018E-2</v>
      </c>
      <c r="U643">
        <f>I643*0.7+M643*-0.25+D643*-0.25</f>
        <v>0.19874999999999993</v>
      </c>
      <c r="V643">
        <f>J643*0.5+I643*-0.5</f>
        <v>-0.28599529999999995</v>
      </c>
      <c r="W643">
        <f>M643*0.5+G643*0.25+I643*0.25</f>
        <v>0.60475000000000001</v>
      </c>
    </row>
    <row r="644" spans="1:23" x14ac:dyDescent="0.2">
      <c r="A644">
        <v>3.95E-2</v>
      </c>
      <c r="B644">
        <v>9</v>
      </c>
      <c r="C644">
        <v>4</v>
      </c>
      <c r="D644">
        <v>7.6899999999999996E-2</v>
      </c>
      <c r="E644">
        <v>-1.6</v>
      </c>
      <c r="F644">
        <v>234147</v>
      </c>
      <c r="G644">
        <v>0.57099999999999995</v>
      </c>
      <c r="H644">
        <v>230</v>
      </c>
      <c r="I644">
        <v>0.72499999999999998</v>
      </c>
      <c r="J644">
        <v>5.0899999999999999E-3</v>
      </c>
      <c r="K644" t="s">
        <v>1063</v>
      </c>
      <c r="L644">
        <v>20</v>
      </c>
      <c r="M644">
        <v>0.89</v>
      </c>
      <c r="N644">
        <v>110.958</v>
      </c>
      <c r="O644">
        <v>0</v>
      </c>
      <c r="P644">
        <v>1</v>
      </c>
      <c r="Q644">
        <v>14</v>
      </c>
      <c r="R644" t="s">
        <v>1064</v>
      </c>
      <c r="S644" t="s">
        <v>1065</v>
      </c>
      <c r="T644">
        <f>I644*-0.5+M644*0.5</f>
        <v>8.2500000000000018E-2</v>
      </c>
      <c r="U644">
        <f>I644*0.7+M644*-0.25+D644*-0.25</f>
        <v>0.26577499999999993</v>
      </c>
      <c r="V644">
        <f>J644*0.5+I644*-0.5</f>
        <v>-0.35995499999999997</v>
      </c>
      <c r="W644">
        <f>M644*0.5+G644*0.25+I644*0.25</f>
        <v>0.76900000000000002</v>
      </c>
    </row>
    <row r="645" spans="1:23" x14ac:dyDescent="0.2">
      <c r="A645">
        <v>0.19600000000000001</v>
      </c>
      <c r="B645">
        <v>11</v>
      </c>
      <c r="C645">
        <v>4</v>
      </c>
      <c r="D645">
        <v>9.6299999999999997E-2</v>
      </c>
      <c r="E645">
        <v>-5.556</v>
      </c>
      <c r="F645">
        <v>198293</v>
      </c>
      <c r="G645">
        <v>0.76500000000000001</v>
      </c>
      <c r="H645">
        <v>198</v>
      </c>
      <c r="I645">
        <v>0.191</v>
      </c>
      <c r="J645">
        <v>0.222</v>
      </c>
      <c r="K645" t="s">
        <v>2571</v>
      </c>
      <c r="L645">
        <v>58</v>
      </c>
      <c r="M645">
        <v>0.35599999999999998</v>
      </c>
      <c r="N645">
        <v>97.001000000000005</v>
      </c>
      <c r="O645">
        <v>0</v>
      </c>
      <c r="P645">
        <v>0</v>
      </c>
      <c r="Q645">
        <v>10</v>
      </c>
      <c r="R645" t="s">
        <v>2572</v>
      </c>
      <c r="S645" t="s">
        <v>2573</v>
      </c>
      <c r="T645">
        <f>I645*-0.5+M645*0.5</f>
        <v>8.249999999999999E-2</v>
      </c>
      <c r="U645">
        <f>I645*0.7+M645*-0.25+D645*-0.25</f>
        <v>2.0624999999999991E-2</v>
      </c>
      <c r="V645">
        <f>J645*0.5+I645*-0.5</f>
        <v>1.55E-2</v>
      </c>
      <c r="W645">
        <f>M645*0.5+G645*0.25+I645*0.25</f>
        <v>0.41699999999999998</v>
      </c>
    </row>
    <row r="646" spans="1:23" x14ac:dyDescent="0.2">
      <c r="A646">
        <v>6.5000000000000002E-2</v>
      </c>
      <c r="B646">
        <v>5</v>
      </c>
      <c r="C646">
        <v>4</v>
      </c>
      <c r="D646">
        <v>0.32600000000000001</v>
      </c>
      <c r="E646">
        <v>-6.6139999999999999</v>
      </c>
      <c r="F646">
        <v>211340</v>
      </c>
      <c r="G646">
        <v>0.59599999999999997</v>
      </c>
      <c r="H646">
        <v>208</v>
      </c>
      <c r="I646">
        <v>0.46400000000000002</v>
      </c>
      <c r="J646">
        <v>0.57599999999999996</v>
      </c>
      <c r="K646" t="s">
        <v>2887</v>
      </c>
      <c r="L646">
        <v>60</v>
      </c>
      <c r="M646">
        <v>0.629</v>
      </c>
      <c r="N646">
        <v>100.023</v>
      </c>
      <c r="O646">
        <v>1.5800000000000002E-2</v>
      </c>
      <c r="P646">
        <v>1</v>
      </c>
      <c r="Q646">
        <v>19</v>
      </c>
      <c r="R646" t="s">
        <v>2888</v>
      </c>
      <c r="S646" t="s">
        <v>2889</v>
      </c>
      <c r="T646">
        <f>I646*-0.5+M646*0.5</f>
        <v>8.249999999999999E-2</v>
      </c>
      <c r="U646">
        <f>I646*0.7+M646*-0.25+D646*-0.25</f>
        <v>8.6049999999999974E-2</v>
      </c>
      <c r="V646">
        <f>J646*0.5+I646*-0.5</f>
        <v>5.5999999999999966E-2</v>
      </c>
      <c r="W646">
        <f>M646*0.5+G646*0.25+I646*0.25</f>
        <v>0.57950000000000002</v>
      </c>
    </row>
    <row r="647" spans="1:23" x14ac:dyDescent="0.2">
      <c r="A647">
        <v>3.2399999999999998E-2</v>
      </c>
      <c r="B647">
        <v>7</v>
      </c>
      <c r="C647">
        <v>4</v>
      </c>
      <c r="D647">
        <v>0.29499999999999998</v>
      </c>
      <c r="E647">
        <v>-4.55</v>
      </c>
      <c r="F647">
        <v>206333</v>
      </c>
      <c r="G647">
        <v>0.53800000000000003</v>
      </c>
      <c r="H647">
        <v>214</v>
      </c>
      <c r="I647">
        <v>0.53700000000000003</v>
      </c>
      <c r="J647">
        <v>2.7499999999999998E-3</v>
      </c>
      <c r="K647" t="s">
        <v>1449</v>
      </c>
      <c r="L647">
        <v>49</v>
      </c>
      <c r="M647">
        <v>0.7</v>
      </c>
      <c r="N647">
        <v>99.994</v>
      </c>
      <c r="O647">
        <v>0</v>
      </c>
      <c r="P647">
        <v>1</v>
      </c>
      <c r="Q647">
        <v>19</v>
      </c>
      <c r="R647" t="s">
        <v>1450</v>
      </c>
      <c r="S647" t="s">
        <v>1451</v>
      </c>
      <c r="T647">
        <f>I647*-0.5+M647*0.5</f>
        <v>8.1499999999999961E-2</v>
      </c>
      <c r="U647">
        <f>I647*0.7+M647*-0.25+D647*-0.25</f>
        <v>0.12715000000000004</v>
      </c>
      <c r="V647">
        <f>J647*0.5+I647*-0.5</f>
        <v>-0.267125</v>
      </c>
      <c r="W647">
        <f>M647*0.5+G647*0.25+I647*0.25</f>
        <v>0.61875000000000002</v>
      </c>
    </row>
    <row r="648" spans="1:23" x14ac:dyDescent="0.2">
      <c r="A648">
        <v>3.3500000000000002E-2</v>
      </c>
      <c r="B648">
        <v>7</v>
      </c>
      <c r="C648">
        <v>4</v>
      </c>
      <c r="D648">
        <v>0.35299999999999998</v>
      </c>
      <c r="E648">
        <v>-4.9880000000000004</v>
      </c>
      <c r="F648">
        <v>213587</v>
      </c>
      <c r="G648">
        <v>0.55900000000000005</v>
      </c>
      <c r="H648">
        <v>210</v>
      </c>
      <c r="I648">
        <v>0.49299999999999999</v>
      </c>
      <c r="J648">
        <v>2.1299999999999999E-2</v>
      </c>
      <c r="K648" t="s">
        <v>1656</v>
      </c>
      <c r="L648">
        <v>38</v>
      </c>
      <c r="M648">
        <v>0.65500000000000003</v>
      </c>
      <c r="N648">
        <v>91.956999999999994</v>
      </c>
      <c r="O648">
        <v>0</v>
      </c>
      <c r="P648">
        <v>1</v>
      </c>
      <c r="Q648">
        <v>8</v>
      </c>
      <c r="R648" t="s">
        <v>243</v>
      </c>
      <c r="S648" t="s">
        <v>1657</v>
      </c>
      <c r="T648">
        <f>I648*-0.5+M648*0.5</f>
        <v>8.1000000000000016E-2</v>
      </c>
      <c r="U648">
        <f>I648*0.7+M648*-0.25+D648*-0.25</f>
        <v>9.3099999999999961E-2</v>
      </c>
      <c r="V648">
        <f>J648*0.5+I648*-0.5</f>
        <v>-0.23585</v>
      </c>
      <c r="W648">
        <f>M648*0.5+G648*0.25+I648*0.25</f>
        <v>0.59050000000000002</v>
      </c>
    </row>
    <row r="649" spans="1:23" x14ac:dyDescent="0.2">
      <c r="A649">
        <v>0.158</v>
      </c>
      <c r="B649">
        <v>2</v>
      </c>
      <c r="C649">
        <v>4</v>
      </c>
      <c r="D649">
        <v>0.30399999999999999</v>
      </c>
      <c r="E649">
        <v>-4.141</v>
      </c>
      <c r="F649">
        <v>240427</v>
      </c>
      <c r="G649">
        <v>0.72799999999999998</v>
      </c>
      <c r="H649">
        <v>199</v>
      </c>
      <c r="I649">
        <v>0.42</v>
      </c>
      <c r="J649">
        <v>0.19600000000000001</v>
      </c>
      <c r="K649" t="s">
        <v>2266</v>
      </c>
      <c r="L649">
        <v>27</v>
      </c>
      <c r="M649">
        <v>0.58199999999999996</v>
      </c>
      <c r="N649">
        <v>184.04499999999999</v>
      </c>
      <c r="O649">
        <v>6.3199999999999997E-4</v>
      </c>
      <c r="P649">
        <v>1</v>
      </c>
      <c r="Q649">
        <v>5</v>
      </c>
      <c r="R649" t="s">
        <v>1749</v>
      </c>
      <c r="S649" t="s">
        <v>2267</v>
      </c>
      <c r="T649">
        <f>I649*-0.5+M649*0.5</f>
        <v>8.0999999999999989E-2</v>
      </c>
      <c r="U649">
        <f>I649*0.7+M649*-0.25+D649*-0.25</f>
        <v>7.2499999999999995E-2</v>
      </c>
      <c r="V649">
        <f>J649*0.5+I649*-0.5</f>
        <v>-0.11199999999999999</v>
      </c>
      <c r="W649">
        <f>M649*0.5+G649*0.25+I649*0.25</f>
        <v>0.57799999999999996</v>
      </c>
    </row>
    <row r="650" spans="1:23" x14ac:dyDescent="0.2">
      <c r="A650">
        <v>7.5899999999999995E-2</v>
      </c>
      <c r="B650">
        <v>1</v>
      </c>
      <c r="C650">
        <v>4</v>
      </c>
      <c r="D650">
        <v>0.11899999999999999</v>
      </c>
      <c r="E650">
        <v>-8.0589999999999993</v>
      </c>
      <c r="F650">
        <v>274227</v>
      </c>
      <c r="G650">
        <v>0.75</v>
      </c>
      <c r="H650">
        <v>231</v>
      </c>
      <c r="I650">
        <v>0.28499999999999998</v>
      </c>
      <c r="J650">
        <v>0.28199999999999997</v>
      </c>
      <c r="K650" t="s">
        <v>2599</v>
      </c>
      <c r="L650">
        <v>5</v>
      </c>
      <c r="M650">
        <v>0.44600000000000001</v>
      </c>
      <c r="N650">
        <v>119.489</v>
      </c>
      <c r="O650">
        <v>0</v>
      </c>
      <c r="P650">
        <v>0</v>
      </c>
      <c r="Q650">
        <v>12</v>
      </c>
      <c r="R650" t="s">
        <v>2600</v>
      </c>
      <c r="S650" t="s">
        <v>1550</v>
      </c>
      <c r="T650">
        <f>I650*-0.5+M650*0.5</f>
        <v>8.0500000000000016E-2</v>
      </c>
      <c r="U650">
        <f>I650*0.7+M650*-0.25+D650*-0.25</f>
        <v>5.8249999999999982E-2</v>
      </c>
      <c r="V650">
        <f>J650*0.5+I650*-0.5</f>
        <v>-1.5000000000000013E-3</v>
      </c>
      <c r="W650">
        <f>M650*0.5+G650*0.25+I650*0.25</f>
        <v>0.48174999999999996</v>
      </c>
    </row>
    <row r="651" spans="1:23" x14ac:dyDescent="0.2">
      <c r="A651">
        <v>0.182</v>
      </c>
      <c r="B651">
        <v>11</v>
      </c>
      <c r="C651">
        <v>4</v>
      </c>
      <c r="D651">
        <v>0.18099999999999999</v>
      </c>
      <c r="E651">
        <v>-2.9380000000000002</v>
      </c>
      <c r="F651">
        <v>275173</v>
      </c>
      <c r="G651">
        <v>0.72499999999999998</v>
      </c>
      <c r="H651">
        <v>238</v>
      </c>
      <c r="I651">
        <v>0.76400000000000001</v>
      </c>
      <c r="J651">
        <v>0.193</v>
      </c>
      <c r="K651" t="s">
        <v>1771</v>
      </c>
      <c r="L651">
        <v>9</v>
      </c>
      <c r="M651">
        <v>0.92500000000000004</v>
      </c>
      <c r="N651">
        <v>155.994</v>
      </c>
      <c r="O651">
        <v>0</v>
      </c>
      <c r="P651">
        <v>1</v>
      </c>
      <c r="Q651">
        <v>9</v>
      </c>
      <c r="R651" t="s">
        <v>1772</v>
      </c>
      <c r="S651" t="s">
        <v>1773</v>
      </c>
      <c r="T651">
        <f>I651*-0.5+M651*0.5</f>
        <v>8.0500000000000016E-2</v>
      </c>
      <c r="U651">
        <f>I651*0.7+M651*-0.25+D651*-0.25</f>
        <v>0.25829999999999992</v>
      </c>
      <c r="V651">
        <f>J651*0.5+I651*-0.5</f>
        <v>-0.28549999999999998</v>
      </c>
      <c r="W651">
        <f>M651*0.5+G651*0.25+I651*0.25</f>
        <v>0.8347500000000001</v>
      </c>
    </row>
    <row r="652" spans="1:23" x14ac:dyDescent="0.2">
      <c r="A652">
        <v>9.5500000000000002E-2</v>
      </c>
      <c r="B652">
        <v>5</v>
      </c>
      <c r="C652">
        <v>4</v>
      </c>
      <c r="D652">
        <v>0.34300000000000003</v>
      </c>
      <c r="E652">
        <v>-3.2149999999999999</v>
      </c>
      <c r="F652">
        <v>190507</v>
      </c>
      <c r="G652">
        <v>0.61499999999999999</v>
      </c>
      <c r="H652">
        <v>190</v>
      </c>
      <c r="I652">
        <v>0.66300000000000003</v>
      </c>
      <c r="J652">
        <v>6.7199999999999996E-2</v>
      </c>
      <c r="K652" t="s">
        <v>1467</v>
      </c>
      <c r="L652">
        <v>59</v>
      </c>
      <c r="M652">
        <v>0.82399999999999995</v>
      </c>
      <c r="N652">
        <v>159.989</v>
      </c>
      <c r="O652">
        <v>0</v>
      </c>
      <c r="P652">
        <v>1</v>
      </c>
      <c r="Q652">
        <v>21</v>
      </c>
      <c r="R652" t="s">
        <v>1468</v>
      </c>
      <c r="S652" t="s">
        <v>1469</v>
      </c>
      <c r="T652">
        <f>I652*-0.5+M652*0.5</f>
        <v>8.049999999999996E-2</v>
      </c>
      <c r="U652">
        <f>I652*0.7+M652*-0.25+D652*-0.25</f>
        <v>0.17235</v>
      </c>
      <c r="V652">
        <f>J652*0.5+I652*-0.5</f>
        <v>-0.2979</v>
      </c>
      <c r="W652">
        <f>M652*0.5+G652*0.25+I652*0.25</f>
        <v>0.73150000000000004</v>
      </c>
    </row>
    <row r="653" spans="1:23" x14ac:dyDescent="0.2">
      <c r="A653">
        <v>3.4599999999999999E-2</v>
      </c>
      <c r="B653">
        <v>11</v>
      </c>
      <c r="C653">
        <v>4</v>
      </c>
      <c r="D653">
        <v>0.111</v>
      </c>
      <c r="E653">
        <v>-3.7069999999999999</v>
      </c>
      <c r="F653">
        <v>209427</v>
      </c>
      <c r="G653">
        <v>0.72399999999999998</v>
      </c>
      <c r="H653">
        <v>209</v>
      </c>
      <c r="I653">
        <v>0.68700000000000006</v>
      </c>
      <c r="J653">
        <v>0.40899999999999997</v>
      </c>
      <c r="K653" t="s">
        <v>2451</v>
      </c>
      <c r="L653">
        <v>59</v>
      </c>
      <c r="M653">
        <v>0.84799999999999998</v>
      </c>
      <c r="N653">
        <v>104.005</v>
      </c>
      <c r="O653">
        <v>2.7999999999999998E-4</v>
      </c>
      <c r="P653">
        <v>0</v>
      </c>
      <c r="Q653">
        <v>19</v>
      </c>
      <c r="R653" t="s">
        <v>2452</v>
      </c>
      <c r="S653" t="s">
        <v>2453</v>
      </c>
      <c r="T653">
        <f>I653*-0.5+M653*0.5</f>
        <v>8.049999999999996E-2</v>
      </c>
      <c r="U653">
        <f>I653*0.7+M653*-0.25+D653*-0.25</f>
        <v>0.24115000000000003</v>
      </c>
      <c r="V653">
        <f>J653*0.5+I653*-0.5</f>
        <v>-0.13900000000000004</v>
      </c>
      <c r="W653">
        <f>M653*0.5+G653*0.25+I653*0.25</f>
        <v>0.77675000000000005</v>
      </c>
    </row>
    <row r="654" spans="1:23" x14ac:dyDescent="0.2">
      <c r="A654">
        <v>0.108</v>
      </c>
      <c r="B654">
        <v>0</v>
      </c>
      <c r="C654">
        <v>4</v>
      </c>
      <c r="D654">
        <v>0.215</v>
      </c>
      <c r="E654">
        <v>-4.5830000000000002</v>
      </c>
      <c r="F654">
        <v>191827</v>
      </c>
      <c r="G654">
        <v>0.55300000000000005</v>
      </c>
      <c r="H654">
        <v>189</v>
      </c>
      <c r="I654">
        <v>0.59599999999999997</v>
      </c>
      <c r="J654">
        <v>9.2299999999999993E-2</v>
      </c>
      <c r="K654" t="s">
        <v>1739</v>
      </c>
      <c r="L654">
        <v>15</v>
      </c>
      <c r="M654">
        <v>0.75600000000000001</v>
      </c>
      <c r="N654">
        <v>94.486999999999995</v>
      </c>
      <c r="O654">
        <v>0</v>
      </c>
      <c r="P654">
        <v>1</v>
      </c>
      <c r="Q654">
        <v>12</v>
      </c>
      <c r="R654" t="s">
        <v>1715</v>
      </c>
      <c r="S654" t="s">
        <v>1740</v>
      </c>
      <c r="T654">
        <f>I654*-0.5+M654*0.5</f>
        <v>8.0000000000000016E-2</v>
      </c>
      <c r="U654">
        <f>I654*0.7+M654*-0.25+D654*-0.25</f>
        <v>0.17444999999999997</v>
      </c>
      <c r="V654">
        <f>J654*0.5+I654*-0.5</f>
        <v>-0.25185000000000002</v>
      </c>
      <c r="W654">
        <f>M654*0.5+G654*0.25+I654*0.25</f>
        <v>0.66525000000000001</v>
      </c>
    </row>
    <row r="655" spans="1:23" x14ac:dyDescent="0.2">
      <c r="A655">
        <v>6.13E-2</v>
      </c>
      <c r="B655">
        <v>2</v>
      </c>
      <c r="C655">
        <v>4</v>
      </c>
      <c r="D655">
        <v>0.14099999999999999</v>
      </c>
      <c r="E655">
        <v>-3.8919999999999999</v>
      </c>
      <c r="F655">
        <v>194520</v>
      </c>
      <c r="G655">
        <v>0.39100000000000001</v>
      </c>
      <c r="H655">
        <v>190</v>
      </c>
      <c r="I655">
        <v>0.67100000000000004</v>
      </c>
      <c r="J655">
        <v>1.5300000000000001E-4</v>
      </c>
      <c r="K655" t="s">
        <v>1188</v>
      </c>
      <c r="L655">
        <v>18</v>
      </c>
      <c r="M655">
        <v>0.83099999999999996</v>
      </c>
      <c r="N655">
        <v>139.946</v>
      </c>
      <c r="O655">
        <v>1.92E-3</v>
      </c>
      <c r="P655">
        <v>1</v>
      </c>
      <c r="Q655">
        <v>1</v>
      </c>
      <c r="R655" t="s">
        <v>232</v>
      </c>
      <c r="S655" t="s">
        <v>1189</v>
      </c>
      <c r="T655">
        <f>I655*-0.5+M655*0.5</f>
        <v>7.999999999999996E-2</v>
      </c>
      <c r="U655">
        <f>I655*0.7+M655*-0.25+D655*-0.25</f>
        <v>0.22670000000000001</v>
      </c>
      <c r="V655">
        <f>J655*0.5+I655*-0.5</f>
        <v>-0.33542350000000004</v>
      </c>
      <c r="W655">
        <f>M655*0.5+G655*0.25+I655*0.25</f>
        <v>0.68100000000000005</v>
      </c>
    </row>
    <row r="656" spans="1:23" x14ac:dyDescent="0.2">
      <c r="A656">
        <v>4.2200000000000001E-2</v>
      </c>
      <c r="B656">
        <v>7</v>
      </c>
      <c r="C656">
        <v>4</v>
      </c>
      <c r="D656">
        <v>8.2199999999999995E-2</v>
      </c>
      <c r="E656">
        <v>-4.3979999999999997</v>
      </c>
      <c r="F656">
        <v>185194</v>
      </c>
      <c r="G656">
        <v>0.621</v>
      </c>
      <c r="H656">
        <v>182</v>
      </c>
      <c r="I656">
        <v>0.58499999999999996</v>
      </c>
      <c r="J656">
        <v>6.6699999999999995E-2</v>
      </c>
      <c r="K656" t="s">
        <v>1673</v>
      </c>
      <c r="L656">
        <v>58</v>
      </c>
      <c r="M656">
        <v>0.74299999999999999</v>
      </c>
      <c r="N656">
        <v>91.51</v>
      </c>
      <c r="O656">
        <v>0</v>
      </c>
      <c r="P656">
        <v>1</v>
      </c>
      <c r="Q656">
        <v>14</v>
      </c>
      <c r="R656" t="s">
        <v>1674</v>
      </c>
      <c r="S656" t="s">
        <v>1074</v>
      </c>
      <c r="T656">
        <f>I656*-0.5+M656*0.5</f>
        <v>7.9000000000000015E-2</v>
      </c>
      <c r="U656">
        <f>I656*0.7+M656*-0.25+D656*-0.25</f>
        <v>0.20319999999999999</v>
      </c>
      <c r="V656">
        <f>J656*0.5+I656*-0.5</f>
        <v>-0.25914999999999999</v>
      </c>
      <c r="W656">
        <f>M656*0.5+G656*0.25+I656*0.25</f>
        <v>0.67300000000000004</v>
      </c>
    </row>
    <row r="657" spans="1:23" x14ac:dyDescent="0.2">
      <c r="A657">
        <v>0.108</v>
      </c>
      <c r="B657">
        <v>0</v>
      </c>
      <c r="C657">
        <v>4</v>
      </c>
      <c r="D657">
        <v>8.1000000000000003E-2</v>
      </c>
      <c r="E657">
        <v>-11.617000000000001</v>
      </c>
      <c r="F657">
        <v>230713</v>
      </c>
      <c r="G657">
        <v>0.72199999999999998</v>
      </c>
      <c r="H657">
        <v>185</v>
      </c>
      <c r="I657">
        <v>0.17199999999999999</v>
      </c>
      <c r="J657">
        <v>8.7999999999999995E-2</v>
      </c>
      <c r="K657" t="s">
        <v>2337</v>
      </c>
      <c r="L657">
        <v>21</v>
      </c>
      <c r="M657">
        <v>0.32900000000000001</v>
      </c>
      <c r="N657">
        <v>99.991</v>
      </c>
      <c r="O657">
        <v>0</v>
      </c>
      <c r="P657">
        <v>0</v>
      </c>
      <c r="Q657">
        <v>10</v>
      </c>
      <c r="R657" t="s">
        <v>2338</v>
      </c>
      <c r="S657" t="s">
        <v>2339</v>
      </c>
      <c r="T657">
        <f>I657*-0.5+M657*0.5</f>
        <v>7.8500000000000014E-2</v>
      </c>
      <c r="U657">
        <f>I657*0.7+M657*-0.25+D657*-0.25</f>
        <v>1.7899999999999975E-2</v>
      </c>
      <c r="V657">
        <f>J657*0.5+I657*-0.5</f>
        <v>-4.1999999999999996E-2</v>
      </c>
      <c r="W657">
        <f>M657*0.5+G657*0.25+I657*0.25</f>
        <v>0.38799999999999996</v>
      </c>
    </row>
    <row r="658" spans="1:23" x14ac:dyDescent="0.2">
      <c r="A658">
        <v>6.7500000000000004E-2</v>
      </c>
      <c r="B658">
        <v>4</v>
      </c>
      <c r="C658">
        <v>4</v>
      </c>
      <c r="D658">
        <v>5.6800000000000003E-2</v>
      </c>
      <c r="E658">
        <v>-6.9080000000000004</v>
      </c>
      <c r="F658">
        <v>218213</v>
      </c>
      <c r="G658">
        <v>0.84299999999999997</v>
      </c>
      <c r="H658">
        <v>235</v>
      </c>
      <c r="I658">
        <v>0.48499999999999999</v>
      </c>
      <c r="J658">
        <v>2.9799999999999998E-4</v>
      </c>
      <c r="K658" t="s">
        <v>1614</v>
      </c>
      <c r="L658">
        <v>27</v>
      </c>
      <c r="M658">
        <v>0.64200000000000002</v>
      </c>
      <c r="N658">
        <v>114.98399999999999</v>
      </c>
      <c r="O658">
        <v>0</v>
      </c>
      <c r="P658">
        <v>1</v>
      </c>
      <c r="Q658">
        <v>3</v>
      </c>
      <c r="R658" t="s">
        <v>1615</v>
      </c>
      <c r="S658" t="s">
        <v>1616</v>
      </c>
      <c r="T658">
        <f>I658*-0.5+M658*0.5</f>
        <v>7.8500000000000014E-2</v>
      </c>
      <c r="U658">
        <f>I658*0.7+M658*-0.25+D658*-0.25</f>
        <v>0.16479999999999997</v>
      </c>
      <c r="V658">
        <f>J658*0.5+I658*-0.5</f>
        <v>-0.24235099999999998</v>
      </c>
      <c r="W658">
        <f>M658*0.5+G658*0.25+I658*0.25</f>
        <v>0.65299999999999991</v>
      </c>
    </row>
    <row r="659" spans="1:23" x14ac:dyDescent="0.2">
      <c r="A659">
        <v>0.13400000000000001</v>
      </c>
      <c r="B659">
        <v>7</v>
      </c>
      <c r="C659">
        <v>3</v>
      </c>
      <c r="D659">
        <v>4.65E-2</v>
      </c>
      <c r="E659">
        <v>-4.9889999999999999</v>
      </c>
      <c r="F659">
        <v>235653</v>
      </c>
      <c r="G659">
        <v>0.317</v>
      </c>
      <c r="H659">
        <v>233</v>
      </c>
      <c r="I659">
        <v>0.52600000000000002</v>
      </c>
      <c r="J659">
        <v>7.9399999999999998E-2</v>
      </c>
      <c r="K659" t="s">
        <v>1816</v>
      </c>
      <c r="L659">
        <v>58</v>
      </c>
      <c r="M659">
        <v>0.68300000000000005</v>
      </c>
      <c r="N659">
        <v>167.61500000000001</v>
      </c>
      <c r="O659">
        <v>0</v>
      </c>
      <c r="P659">
        <v>1</v>
      </c>
      <c r="Q659">
        <v>7</v>
      </c>
      <c r="R659" t="s">
        <v>900</v>
      </c>
      <c r="S659" t="s">
        <v>1817</v>
      </c>
      <c r="T659">
        <f>I659*-0.5+M659*0.5</f>
        <v>7.8500000000000014E-2</v>
      </c>
      <c r="U659">
        <f>I659*0.7+M659*-0.25+D659*-0.25</f>
        <v>0.18582499999999996</v>
      </c>
      <c r="V659">
        <f>J659*0.5+I659*-0.5</f>
        <v>-0.2233</v>
      </c>
      <c r="W659">
        <f>M659*0.5+G659*0.25+I659*0.25</f>
        <v>0.55225000000000002</v>
      </c>
    </row>
    <row r="660" spans="1:23" x14ac:dyDescent="0.2">
      <c r="A660">
        <v>4.4299999999999999E-2</v>
      </c>
      <c r="B660">
        <v>9</v>
      </c>
      <c r="C660">
        <v>4</v>
      </c>
      <c r="D660">
        <v>8.9899999999999994E-2</v>
      </c>
      <c r="E660">
        <v>-3.5350000000000001</v>
      </c>
      <c r="F660">
        <v>241613</v>
      </c>
      <c r="G660">
        <v>0.629</v>
      </c>
      <c r="H660">
        <v>242</v>
      </c>
      <c r="I660">
        <v>0.72099999999999997</v>
      </c>
      <c r="J660">
        <v>0.39200000000000002</v>
      </c>
      <c r="K660" t="s">
        <v>2387</v>
      </c>
      <c r="L660">
        <v>56</v>
      </c>
      <c r="M660">
        <v>0.878</v>
      </c>
      <c r="N660">
        <v>137.989</v>
      </c>
      <c r="O660">
        <v>0</v>
      </c>
      <c r="P660">
        <v>1</v>
      </c>
      <c r="Q660">
        <v>16</v>
      </c>
      <c r="R660" t="s">
        <v>766</v>
      </c>
      <c r="S660" t="s">
        <v>2388</v>
      </c>
      <c r="T660">
        <f>I660*-0.5+M660*0.5</f>
        <v>7.8500000000000014E-2</v>
      </c>
      <c r="U660">
        <f>I660*0.7+M660*-0.25+D660*-0.25</f>
        <v>0.26272499999999988</v>
      </c>
      <c r="V660">
        <f>J660*0.5+I660*-0.5</f>
        <v>-0.16449999999999998</v>
      </c>
      <c r="W660">
        <f>M660*0.5+G660*0.25+I660*0.25</f>
        <v>0.77649999999999997</v>
      </c>
    </row>
    <row r="661" spans="1:23" x14ac:dyDescent="0.2">
      <c r="A661">
        <v>0.215</v>
      </c>
      <c r="B661">
        <v>7</v>
      </c>
      <c r="C661">
        <v>4</v>
      </c>
      <c r="D661">
        <v>3.0200000000000001E-2</v>
      </c>
      <c r="E661">
        <v>-5.3940000000000001</v>
      </c>
      <c r="F661">
        <v>212173</v>
      </c>
      <c r="G661">
        <v>0.91300000000000003</v>
      </c>
      <c r="H661">
        <v>212</v>
      </c>
      <c r="I661">
        <v>0.70799999999999996</v>
      </c>
      <c r="J661">
        <v>0.193</v>
      </c>
      <c r="K661" t="s">
        <v>1895</v>
      </c>
      <c r="L661">
        <v>7</v>
      </c>
      <c r="M661">
        <v>0.86399999999999999</v>
      </c>
      <c r="N661">
        <v>97.974999999999994</v>
      </c>
      <c r="O661" s="1">
        <v>2.5199999999999999E-5</v>
      </c>
      <c r="P661">
        <v>1</v>
      </c>
      <c r="Q661">
        <v>9</v>
      </c>
      <c r="R661" t="s">
        <v>1896</v>
      </c>
      <c r="S661" t="s">
        <v>1897</v>
      </c>
      <c r="T661">
        <f>I661*-0.5+M661*0.5</f>
        <v>7.8000000000000014E-2</v>
      </c>
      <c r="U661">
        <f>I661*0.7+M661*-0.25+D661*-0.25</f>
        <v>0.27204999999999996</v>
      </c>
      <c r="V661">
        <f>J661*0.5+I661*-0.5</f>
        <v>-0.25749999999999995</v>
      </c>
      <c r="W661">
        <f>M661*0.5+G661*0.25+I661*0.25</f>
        <v>0.83725000000000005</v>
      </c>
    </row>
    <row r="662" spans="1:23" x14ac:dyDescent="0.2">
      <c r="A662">
        <v>4.3700000000000003E-2</v>
      </c>
      <c r="B662">
        <v>11</v>
      </c>
      <c r="C662">
        <v>4</v>
      </c>
      <c r="D662">
        <v>8.8499999999999995E-2</v>
      </c>
      <c r="E662">
        <v>-3.2389999999999999</v>
      </c>
      <c r="F662">
        <v>241093</v>
      </c>
      <c r="G662">
        <v>0.70199999999999996</v>
      </c>
      <c r="H662">
        <v>238</v>
      </c>
      <c r="I662">
        <v>0.72699999999999998</v>
      </c>
      <c r="J662">
        <v>4.0700000000000003E-4</v>
      </c>
      <c r="K662" t="s">
        <v>1105</v>
      </c>
      <c r="L662">
        <v>37</v>
      </c>
      <c r="M662">
        <v>0.88300000000000001</v>
      </c>
      <c r="N662">
        <v>129.999</v>
      </c>
      <c r="O662" s="1">
        <v>1.2699999999999999E-6</v>
      </c>
      <c r="P662">
        <v>0</v>
      </c>
      <c r="Q662">
        <v>9</v>
      </c>
      <c r="R662" t="s">
        <v>556</v>
      </c>
      <c r="S662" t="s">
        <v>1106</v>
      </c>
      <c r="T662">
        <f>I662*-0.5+M662*0.5</f>
        <v>7.8000000000000014E-2</v>
      </c>
      <c r="U662">
        <f>I662*0.7+M662*-0.25+D662*-0.25</f>
        <v>0.2660249999999999</v>
      </c>
      <c r="V662">
        <f>J662*0.5+I662*-0.5</f>
        <v>-0.36329649999999997</v>
      </c>
      <c r="W662">
        <f>M662*0.5+G662*0.25+I662*0.25</f>
        <v>0.79874999999999996</v>
      </c>
    </row>
    <row r="663" spans="1:23" x14ac:dyDescent="0.2">
      <c r="A663">
        <v>3.6600000000000001E-2</v>
      </c>
      <c r="B663">
        <v>1</v>
      </c>
      <c r="C663">
        <v>4</v>
      </c>
      <c r="D663">
        <v>0.104</v>
      </c>
      <c r="E663">
        <v>-7.2759999999999998</v>
      </c>
      <c r="F663">
        <v>231520</v>
      </c>
      <c r="G663">
        <v>0.56799999999999995</v>
      </c>
      <c r="H663">
        <v>229</v>
      </c>
      <c r="I663">
        <v>0.35899999999999999</v>
      </c>
      <c r="J663">
        <v>0.20399999999999999</v>
      </c>
      <c r="K663" t="s">
        <v>2394</v>
      </c>
      <c r="L663">
        <v>50</v>
      </c>
      <c r="M663">
        <v>0.51400000000000001</v>
      </c>
      <c r="N663">
        <v>144.46799999999999</v>
      </c>
      <c r="O663" s="1">
        <v>1.17E-5</v>
      </c>
      <c r="P663">
        <v>1</v>
      </c>
      <c r="Q663">
        <v>17</v>
      </c>
      <c r="R663" t="s">
        <v>2395</v>
      </c>
      <c r="S663" t="s">
        <v>2396</v>
      </c>
      <c r="T663">
        <f>I663*-0.5+M663*0.5</f>
        <v>7.7500000000000013E-2</v>
      </c>
      <c r="U663">
        <f>I663*0.7+M663*-0.25+D663*-0.25</f>
        <v>9.6799999999999969E-2</v>
      </c>
      <c r="V663">
        <f>J663*0.5+I663*-0.5</f>
        <v>-7.7499999999999999E-2</v>
      </c>
      <c r="W663">
        <f>M663*0.5+G663*0.25+I663*0.25</f>
        <v>0.48875000000000002</v>
      </c>
    </row>
    <row r="664" spans="1:23" x14ac:dyDescent="0.2">
      <c r="A664">
        <v>0.23400000000000001</v>
      </c>
      <c r="B664">
        <v>0</v>
      </c>
      <c r="C664">
        <v>4</v>
      </c>
      <c r="D664">
        <v>0.35199999999999998</v>
      </c>
      <c r="E664">
        <v>-7.7389999999999999</v>
      </c>
      <c r="F664">
        <v>246960</v>
      </c>
      <c r="G664">
        <v>0.56399999999999995</v>
      </c>
      <c r="H664">
        <v>245</v>
      </c>
      <c r="I664">
        <v>0.35</v>
      </c>
      <c r="J664">
        <v>0.64500000000000002</v>
      </c>
      <c r="K664" t="s">
        <v>3007</v>
      </c>
      <c r="L664">
        <v>51</v>
      </c>
      <c r="M664">
        <v>0.504</v>
      </c>
      <c r="N664">
        <v>131.429</v>
      </c>
      <c r="O664">
        <v>0</v>
      </c>
      <c r="P664">
        <v>1</v>
      </c>
      <c r="Q664">
        <v>21</v>
      </c>
      <c r="R664" t="s">
        <v>3008</v>
      </c>
      <c r="S664" t="s">
        <v>384</v>
      </c>
      <c r="T664">
        <f>I664*-0.5+M664*0.5</f>
        <v>7.7000000000000013E-2</v>
      </c>
      <c r="U664">
        <f>I664*0.7+M664*-0.25+D664*-0.25</f>
        <v>3.0999999999999972E-2</v>
      </c>
      <c r="V664">
        <f>J664*0.5+I664*-0.5</f>
        <v>0.14750000000000002</v>
      </c>
      <c r="W664">
        <f>M664*0.5+G664*0.25+I664*0.25</f>
        <v>0.48050000000000004</v>
      </c>
    </row>
    <row r="665" spans="1:23" x14ac:dyDescent="0.2">
      <c r="A665">
        <v>3.3599999999999998E-2</v>
      </c>
      <c r="B665">
        <v>3</v>
      </c>
      <c r="C665">
        <v>4</v>
      </c>
      <c r="D665">
        <v>0.112</v>
      </c>
      <c r="E665">
        <v>-2.5630000000000002</v>
      </c>
      <c r="F665">
        <v>227707</v>
      </c>
      <c r="G665">
        <v>0.81299999999999994</v>
      </c>
      <c r="H665">
        <v>227</v>
      </c>
      <c r="I665">
        <v>0.79500000000000004</v>
      </c>
      <c r="J665">
        <v>0.48599999999999999</v>
      </c>
      <c r="K665" t="s">
        <v>2511</v>
      </c>
      <c r="L665">
        <v>4</v>
      </c>
      <c r="M665">
        <v>0.94899999999999995</v>
      </c>
      <c r="N665">
        <v>115.06100000000001</v>
      </c>
      <c r="O665" s="1">
        <v>9.7499999999999998E-6</v>
      </c>
      <c r="P665">
        <v>0</v>
      </c>
      <c r="Q665">
        <v>3</v>
      </c>
      <c r="R665" t="s">
        <v>755</v>
      </c>
      <c r="S665" t="s">
        <v>2512</v>
      </c>
      <c r="T665">
        <f>I665*-0.5+M665*0.5</f>
        <v>7.6999999999999957E-2</v>
      </c>
      <c r="U665">
        <f>I665*0.7+M665*-0.25+D665*-0.25</f>
        <v>0.29125000000000001</v>
      </c>
      <c r="V665">
        <f>J665*0.5+I665*-0.5</f>
        <v>-0.15450000000000003</v>
      </c>
      <c r="W665">
        <f>M665*0.5+G665*0.25+I665*0.25</f>
        <v>0.87649999999999995</v>
      </c>
    </row>
    <row r="666" spans="1:23" x14ac:dyDescent="0.2">
      <c r="A666">
        <v>2.7199999999999998E-2</v>
      </c>
      <c r="B666">
        <v>2</v>
      </c>
      <c r="C666">
        <v>4</v>
      </c>
      <c r="D666">
        <v>0.14000000000000001</v>
      </c>
      <c r="E666">
        <v>-7.3440000000000003</v>
      </c>
      <c r="F666">
        <v>230187</v>
      </c>
      <c r="G666">
        <v>0.60199999999999998</v>
      </c>
      <c r="H666">
        <v>227</v>
      </c>
      <c r="I666">
        <v>0.251</v>
      </c>
      <c r="J666">
        <v>0.31</v>
      </c>
      <c r="K666" t="s">
        <v>2714</v>
      </c>
      <c r="L666">
        <v>51</v>
      </c>
      <c r="M666">
        <v>0.40400000000000003</v>
      </c>
      <c r="N666">
        <v>83.054000000000002</v>
      </c>
      <c r="O666">
        <v>0</v>
      </c>
      <c r="P666">
        <v>1</v>
      </c>
      <c r="Q666">
        <v>18</v>
      </c>
      <c r="R666" t="s">
        <v>35</v>
      </c>
      <c r="S666" t="s">
        <v>2715</v>
      </c>
      <c r="T666">
        <f>I666*-0.5+M666*0.5</f>
        <v>7.6500000000000012E-2</v>
      </c>
      <c r="U666">
        <f>I666*0.7+M666*-0.25+D666*-0.25</f>
        <v>3.9699999999999985E-2</v>
      </c>
      <c r="V666">
        <f>J666*0.5+I666*-0.5</f>
        <v>2.9499999999999998E-2</v>
      </c>
      <c r="W666">
        <f>M666*0.5+G666*0.25+I666*0.25</f>
        <v>0.41525000000000001</v>
      </c>
    </row>
    <row r="667" spans="1:23" x14ac:dyDescent="0.2">
      <c r="A667">
        <v>0.27</v>
      </c>
      <c r="B667">
        <v>1</v>
      </c>
      <c r="C667">
        <v>4</v>
      </c>
      <c r="D667">
        <v>0.70199999999999996</v>
      </c>
      <c r="E667">
        <v>-3.5990000000000002</v>
      </c>
      <c r="F667">
        <v>213507</v>
      </c>
      <c r="G667">
        <v>0.47099999999999997</v>
      </c>
      <c r="H667">
        <v>210</v>
      </c>
      <c r="I667">
        <v>0.64900000000000002</v>
      </c>
      <c r="J667">
        <v>1.2500000000000001E-2</v>
      </c>
      <c r="K667" t="s">
        <v>1299</v>
      </c>
      <c r="L667">
        <v>59</v>
      </c>
      <c r="M667">
        <v>0.80200000000000005</v>
      </c>
      <c r="N667">
        <v>88.614999999999995</v>
      </c>
      <c r="O667" s="1">
        <v>1.4500000000000001E-6</v>
      </c>
      <c r="P667">
        <v>0</v>
      </c>
      <c r="Q667">
        <v>4</v>
      </c>
      <c r="R667" t="s">
        <v>1300</v>
      </c>
      <c r="S667" t="s">
        <v>1301</v>
      </c>
      <c r="T667">
        <f>I667*-0.5+M667*0.5</f>
        <v>7.6500000000000012E-2</v>
      </c>
      <c r="U667">
        <f>I667*0.7+M667*-0.25+D667*-0.25</f>
        <v>7.8299999999999981E-2</v>
      </c>
      <c r="V667">
        <f>J667*0.5+I667*-0.5</f>
        <v>-0.31825000000000003</v>
      </c>
      <c r="W667">
        <f>M667*0.5+G667*0.25+I667*0.25</f>
        <v>0.68100000000000005</v>
      </c>
    </row>
    <row r="668" spans="1:23" x14ac:dyDescent="0.2">
      <c r="A668">
        <v>9.4600000000000004E-2</v>
      </c>
      <c r="B668">
        <v>0</v>
      </c>
      <c r="C668">
        <v>4</v>
      </c>
      <c r="D668">
        <v>0.40100000000000002</v>
      </c>
      <c r="E668">
        <v>-3.1520000000000001</v>
      </c>
      <c r="F668">
        <v>214320</v>
      </c>
      <c r="G668">
        <v>0.48699999999999999</v>
      </c>
      <c r="H668">
        <v>217</v>
      </c>
      <c r="I668">
        <v>0.72299999999999998</v>
      </c>
      <c r="J668">
        <v>1.0999999999999999E-2</v>
      </c>
      <c r="K668" t="s">
        <v>1172</v>
      </c>
      <c r="L668">
        <v>47</v>
      </c>
      <c r="M668">
        <v>0.876</v>
      </c>
      <c r="N668">
        <v>164.99700000000001</v>
      </c>
      <c r="O668">
        <v>0</v>
      </c>
      <c r="P668">
        <v>1</v>
      </c>
      <c r="Q668">
        <v>16</v>
      </c>
      <c r="R668" t="s">
        <v>528</v>
      </c>
      <c r="S668" t="s">
        <v>1173</v>
      </c>
      <c r="T668">
        <f>I668*-0.5+M668*0.5</f>
        <v>7.6500000000000012E-2</v>
      </c>
      <c r="U668">
        <f>I668*0.7+M668*-0.25+D668*-0.25</f>
        <v>0.18685000000000002</v>
      </c>
      <c r="V668">
        <f>J668*0.5+I668*-0.5</f>
        <v>-0.35599999999999998</v>
      </c>
      <c r="W668">
        <f>M668*0.5+G668*0.25+I668*0.25</f>
        <v>0.74049999999999994</v>
      </c>
    </row>
    <row r="669" spans="1:23" x14ac:dyDescent="0.2">
      <c r="A669">
        <v>2.69E-2</v>
      </c>
      <c r="B669">
        <v>0</v>
      </c>
      <c r="C669">
        <v>4</v>
      </c>
      <c r="D669">
        <v>0.113</v>
      </c>
      <c r="E669">
        <v>-6.1470000000000002</v>
      </c>
      <c r="F669">
        <v>296347</v>
      </c>
      <c r="G669">
        <v>0.73199999999999998</v>
      </c>
      <c r="H669">
        <v>297</v>
      </c>
      <c r="I669">
        <v>0.50600000000000001</v>
      </c>
      <c r="J669">
        <v>0.29599999999999999</v>
      </c>
      <c r="K669" t="s">
        <v>2434</v>
      </c>
      <c r="L669">
        <v>2</v>
      </c>
      <c r="M669">
        <v>0.65800000000000003</v>
      </c>
      <c r="N669">
        <v>104.503</v>
      </c>
      <c r="O669">
        <v>0</v>
      </c>
      <c r="P669">
        <v>1</v>
      </c>
      <c r="Q669">
        <v>10</v>
      </c>
      <c r="R669" t="s">
        <v>1621</v>
      </c>
      <c r="S669" t="s">
        <v>1586</v>
      </c>
      <c r="T669">
        <f>I669*-0.5+M669*0.5</f>
        <v>7.6000000000000012E-2</v>
      </c>
      <c r="U669">
        <f>I669*0.7+M669*-0.25+D669*-0.25</f>
        <v>0.16144999999999995</v>
      </c>
      <c r="V669">
        <f>J669*0.5+I669*-0.5</f>
        <v>-0.10500000000000001</v>
      </c>
      <c r="W669">
        <f>M669*0.5+G669*0.25+I669*0.25</f>
        <v>0.63850000000000007</v>
      </c>
    </row>
    <row r="670" spans="1:23" x14ac:dyDescent="0.2">
      <c r="A670">
        <v>5.6099999999999997E-2</v>
      </c>
      <c r="B670">
        <v>11</v>
      </c>
      <c r="C670">
        <v>4</v>
      </c>
      <c r="D670">
        <v>0.11899999999999999</v>
      </c>
      <c r="E670">
        <v>-3.552</v>
      </c>
      <c r="F670">
        <v>242133</v>
      </c>
      <c r="G670">
        <v>0.92400000000000004</v>
      </c>
      <c r="H670">
        <v>238</v>
      </c>
      <c r="I670">
        <v>0.61899999999999999</v>
      </c>
      <c r="J670">
        <v>3.3399999999999999E-2</v>
      </c>
      <c r="K670" t="s">
        <v>1487</v>
      </c>
      <c r="L670">
        <v>27</v>
      </c>
      <c r="M670">
        <v>0.77100000000000002</v>
      </c>
      <c r="N670">
        <v>123.018</v>
      </c>
      <c r="O670">
        <v>1.1E-4</v>
      </c>
      <c r="P670">
        <v>0</v>
      </c>
      <c r="Q670">
        <v>2</v>
      </c>
      <c r="R670" t="s">
        <v>1488</v>
      </c>
      <c r="S670" t="s">
        <v>1489</v>
      </c>
      <c r="T670">
        <f>I670*-0.5+M670*0.5</f>
        <v>7.6000000000000012E-2</v>
      </c>
      <c r="U670">
        <f>I670*0.7+M670*-0.25+D670*-0.25</f>
        <v>0.21079999999999996</v>
      </c>
      <c r="V670">
        <f>J670*0.5+I670*-0.5</f>
        <v>-0.2928</v>
      </c>
      <c r="W670">
        <f>M670*0.5+G670*0.25+I670*0.25</f>
        <v>0.77124999999999999</v>
      </c>
    </row>
    <row r="671" spans="1:23" x14ac:dyDescent="0.2">
      <c r="A671">
        <v>3.1E-2</v>
      </c>
      <c r="B671">
        <v>11</v>
      </c>
      <c r="C671">
        <v>4</v>
      </c>
      <c r="D671">
        <v>0.22800000000000001</v>
      </c>
      <c r="E671">
        <v>-4.0049999999999999</v>
      </c>
      <c r="F671">
        <v>229080</v>
      </c>
      <c r="G671">
        <v>0.67100000000000004</v>
      </c>
      <c r="H671">
        <v>227</v>
      </c>
      <c r="I671">
        <v>0.44400000000000001</v>
      </c>
      <c r="J671">
        <v>2.3599999999999999E-2</v>
      </c>
      <c r="K671" t="s">
        <v>1806</v>
      </c>
      <c r="L671">
        <v>57</v>
      </c>
      <c r="M671">
        <v>0.59599999999999997</v>
      </c>
      <c r="N671">
        <v>98.025000000000006</v>
      </c>
      <c r="O671">
        <v>0</v>
      </c>
      <c r="P671">
        <v>0</v>
      </c>
      <c r="Q671">
        <v>5</v>
      </c>
      <c r="R671" t="s">
        <v>140</v>
      </c>
      <c r="S671" t="s">
        <v>1807</v>
      </c>
      <c r="T671">
        <f>I671*-0.5+M671*0.5</f>
        <v>7.5999999999999984E-2</v>
      </c>
      <c r="U671">
        <f>I671*0.7+M671*-0.25+D671*-0.25</f>
        <v>0.10479999999999998</v>
      </c>
      <c r="V671">
        <f>J671*0.5+I671*-0.5</f>
        <v>-0.2102</v>
      </c>
      <c r="W671">
        <f>M671*0.5+G671*0.25+I671*0.25</f>
        <v>0.57674999999999998</v>
      </c>
    </row>
    <row r="672" spans="1:23" x14ac:dyDescent="0.2">
      <c r="A672">
        <v>7.9799999999999996E-2</v>
      </c>
      <c r="B672">
        <v>4</v>
      </c>
      <c r="C672">
        <v>4</v>
      </c>
      <c r="D672">
        <v>0.48599999999999999</v>
      </c>
      <c r="E672">
        <v>-3.8359999999999999</v>
      </c>
      <c r="F672">
        <v>179947</v>
      </c>
      <c r="G672">
        <v>0.61799999999999999</v>
      </c>
      <c r="H672">
        <v>177</v>
      </c>
      <c r="I672">
        <v>0.80400000000000005</v>
      </c>
      <c r="J672">
        <v>2.2100000000000002E-3</v>
      </c>
      <c r="K672" t="s">
        <v>975</v>
      </c>
      <c r="L672">
        <v>28</v>
      </c>
      <c r="M672">
        <v>0.95499999999999996</v>
      </c>
      <c r="N672">
        <v>150.03399999999999</v>
      </c>
      <c r="O672" s="1">
        <v>3.0900000000000001E-6</v>
      </c>
      <c r="P672">
        <v>1</v>
      </c>
      <c r="Q672">
        <v>14</v>
      </c>
      <c r="R672" t="s">
        <v>976</v>
      </c>
      <c r="S672" t="s">
        <v>977</v>
      </c>
      <c r="T672">
        <f>I672*-0.5+M672*0.5</f>
        <v>7.5499999999999956E-2</v>
      </c>
      <c r="U672">
        <f>I672*0.7+M672*-0.25+D672*-0.25</f>
        <v>0.20254999999999995</v>
      </c>
      <c r="V672">
        <f>J672*0.5+I672*-0.5</f>
        <v>-0.400895</v>
      </c>
      <c r="W672">
        <f>M672*0.5+G672*0.25+I672*0.25</f>
        <v>0.83299999999999996</v>
      </c>
    </row>
    <row r="673" spans="1:23" x14ac:dyDescent="0.2">
      <c r="A673">
        <v>3.3399999999999999E-2</v>
      </c>
      <c r="B673">
        <v>1</v>
      </c>
      <c r="C673">
        <v>4</v>
      </c>
      <c r="D673">
        <v>0.37</v>
      </c>
      <c r="E673">
        <v>-5.7939999999999996</v>
      </c>
      <c r="F673">
        <v>231240</v>
      </c>
      <c r="G673">
        <v>0.61299999999999999</v>
      </c>
      <c r="H673">
        <v>229</v>
      </c>
      <c r="I673">
        <v>0.47199999999999998</v>
      </c>
      <c r="J673">
        <v>8.8199999999999997E-3</v>
      </c>
      <c r="K673" t="s">
        <v>1728</v>
      </c>
      <c r="L673">
        <v>48</v>
      </c>
      <c r="M673">
        <v>0.622</v>
      </c>
      <c r="N673">
        <v>80.003</v>
      </c>
      <c r="O673">
        <v>0</v>
      </c>
      <c r="P673">
        <v>0</v>
      </c>
      <c r="Q673">
        <v>9</v>
      </c>
      <c r="R673" t="s">
        <v>827</v>
      </c>
      <c r="S673" t="s">
        <v>1729</v>
      </c>
      <c r="T673">
        <f>I673*-0.5+M673*0.5</f>
        <v>7.5000000000000011E-2</v>
      </c>
      <c r="U673">
        <f>I673*0.7+M673*-0.25+D673*-0.25</f>
        <v>8.2399999999999973E-2</v>
      </c>
      <c r="V673">
        <f>J673*0.5+I673*-0.5</f>
        <v>-0.23158999999999999</v>
      </c>
      <c r="W673">
        <f>M673*0.5+G673*0.25+I673*0.25</f>
        <v>0.58224999999999993</v>
      </c>
    </row>
    <row r="674" spans="1:23" x14ac:dyDescent="0.2">
      <c r="A674">
        <v>5.4699999999999999E-2</v>
      </c>
      <c r="B674">
        <v>1</v>
      </c>
      <c r="C674">
        <v>4</v>
      </c>
      <c r="D674">
        <v>0.48399999999999999</v>
      </c>
      <c r="E674">
        <v>-6.7270000000000003</v>
      </c>
      <c r="F674">
        <v>248253</v>
      </c>
      <c r="G674">
        <v>0.749</v>
      </c>
      <c r="H674">
        <v>250</v>
      </c>
      <c r="I674">
        <v>0.50600000000000001</v>
      </c>
      <c r="J674">
        <v>2.81E-3</v>
      </c>
      <c r="K674" t="s">
        <v>1628</v>
      </c>
      <c r="L674">
        <v>54</v>
      </c>
      <c r="M674">
        <v>0.65600000000000003</v>
      </c>
      <c r="N674">
        <v>130.06299999999999</v>
      </c>
      <c r="O674" s="1">
        <v>8.4400000000000005E-6</v>
      </c>
      <c r="P674">
        <v>1</v>
      </c>
      <c r="Q674">
        <v>21</v>
      </c>
      <c r="R674" t="s">
        <v>1629</v>
      </c>
      <c r="S674" t="s">
        <v>1630</v>
      </c>
      <c r="T674">
        <f>I674*-0.5+M674*0.5</f>
        <v>7.5000000000000011E-2</v>
      </c>
      <c r="U674">
        <f>I674*0.7+M674*-0.25+D674*-0.25</f>
        <v>6.9199999999999956E-2</v>
      </c>
      <c r="V674">
        <f>J674*0.5+I674*-0.5</f>
        <v>-0.25159500000000001</v>
      </c>
      <c r="W674">
        <f>M674*0.5+G674*0.25+I674*0.25</f>
        <v>0.64175000000000004</v>
      </c>
    </row>
    <row r="675" spans="1:23" x14ac:dyDescent="0.2">
      <c r="A675">
        <v>0.34300000000000003</v>
      </c>
      <c r="B675">
        <v>8</v>
      </c>
      <c r="C675">
        <v>4</v>
      </c>
      <c r="D675">
        <v>0.34699999999999998</v>
      </c>
      <c r="E675">
        <v>-4.1100000000000003</v>
      </c>
      <c r="F675">
        <v>196133</v>
      </c>
      <c r="G675">
        <v>0.54900000000000004</v>
      </c>
      <c r="H675">
        <v>193</v>
      </c>
      <c r="I675">
        <v>0.78200000000000003</v>
      </c>
      <c r="J675">
        <v>1.2699999999999999E-2</v>
      </c>
      <c r="K675" t="s">
        <v>1069</v>
      </c>
      <c r="L675">
        <v>36</v>
      </c>
      <c r="M675">
        <v>0.93200000000000005</v>
      </c>
      <c r="N675">
        <v>82.438999999999993</v>
      </c>
      <c r="O675">
        <v>0</v>
      </c>
      <c r="P675">
        <v>0</v>
      </c>
      <c r="Q675">
        <v>8</v>
      </c>
      <c r="R675" t="s">
        <v>1070</v>
      </c>
      <c r="S675" t="s">
        <v>1071</v>
      </c>
      <c r="T675">
        <f>I675*-0.5+M675*0.5</f>
        <v>7.5000000000000011E-2</v>
      </c>
      <c r="U675">
        <f>I675*0.7+M675*-0.25+D675*-0.25</f>
        <v>0.22765000000000002</v>
      </c>
      <c r="V675">
        <f>J675*0.5+I675*-0.5</f>
        <v>-0.38464999999999999</v>
      </c>
      <c r="W675">
        <f>M675*0.5+G675*0.25+I675*0.25</f>
        <v>0.79875000000000007</v>
      </c>
    </row>
    <row r="676" spans="1:23" x14ac:dyDescent="0.2">
      <c r="A676">
        <v>3.5499999999999997E-2</v>
      </c>
      <c r="B676">
        <v>5</v>
      </c>
      <c r="C676">
        <v>4</v>
      </c>
      <c r="D676">
        <v>7.4399999999999994E-2</v>
      </c>
      <c r="E676">
        <v>-4.63</v>
      </c>
      <c r="F676">
        <v>216160</v>
      </c>
      <c r="G676">
        <v>0.67800000000000005</v>
      </c>
      <c r="H676">
        <v>212</v>
      </c>
      <c r="I676">
        <v>0.76900000000000002</v>
      </c>
      <c r="J676">
        <v>4.17E-4</v>
      </c>
      <c r="K676" t="s">
        <v>1049</v>
      </c>
      <c r="L676">
        <v>43</v>
      </c>
      <c r="M676">
        <v>0.91800000000000004</v>
      </c>
      <c r="N676">
        <v>130.02799999999999</v>
      </c>
      <c r="O676">
        <v>0</v>
      </c>
      <c r="P676">
        <v>1</v>
      </c>
      <c r="Q676">
        <v>2</v>
      </c>
      <c r="R676" t="s">
        <v>206</v>
      </c>
      <c r="S676" t="s">
        <v>1050</v>
      </c>
      <c r="T676">
        <f>I676*-0.5+M676*0.5</f>
        <v>7.4500000000000011E-2</v>
      </c>
      <c r="U676">
        <f>I676*0.7+M676*-0.25+D676*-0.25</f>
        <v>0.29019999999999996</v>
      </c>
      <c r="V676">
        <f>J676*0.5+I676*-0.5</f>
        <v>-0.38429150000000001</v>
      </c>
      <c r="W676">
        <f>M676*0.5+G676*0.25+I676*0.25</f>
        <v>0.82075000000000009</v>
      </c>
    </row>
    <row r="677" spans="1:23" x14ac:dyDescent="0.2">
      <c r="A677">
        <v>4.6100000000000002E-2</v>
      </c>
      <c r="B677">
        <v>6</v>
      </c>
      <c r="C677">
        <v>4</v>
      </c>
      <c r="D677">
        <v>0.247</v>
      </c>
      <c r="E677">
        <v>-5.1980000000000004</v>
      </c>
      <c r="F677">
        <v>289653</v>
      </c>
      <c r="G677">
        <v>0.66100000000000003</v>
      </c>
      <c r="H677">
        <v>218</v>
      </c>
      <c r="I677">
        <v>0.68300000000000005</v>
      </c>
      <c r="J677">
        <v>5.0000000000000001E-3</v>
      </c>
      <c r="K677" t="s">
        <v>1250</v>
      </c>
      <c r="L677">
        <v>10</v>
      </c>
      <c r="M677">
        <v>0.83199999999999996</v>
      </c>
      <c r="N677">
        <v>119.863</v>
      </c>
      <c r="O677" s="1">
        <v>3.7100000000000001E-6</v>
      </c>
      <c r="P677">
        <v>0</v>
      </c>
      <c r="Q677">
        <v>7</v>
      </c>
      <c r="R677" t="s">
        <v>1251</v>
      </c>
      <c r="S677" t="s">
        <v>1252</v>
      </c>
      <c r="T677">
        <f>I677*-0.5+M677*0.5</f>
        <v>7.4499999999999955E-2</v>
      </c>
      <c r="U677">
        <f>I677*0.7+M677*-0.25+D677*-0.25</f>
        <v>0.20835000000000001</v>
      </c>
      <c r="V677">
        <f>J677*0.5+I677*-0.5</f>
        <v>-0.33900000000000002</v>
      </c>
      <c r="W677">
        <f>M677*0.5+G677*0.25+I677*0.25</f>
        <v>0.752</v>
      </c>
    </row>
    <row r="678" spans="1:23" x14ac:dyDescent="0.2">
      <c r="A678">
        <v>0.10100000000000001</v>
      </c>
      <c r="B678">
        <v>11</v>
      </c>
      <c r="C678">
        <v>4</v>
      </c>
      <c r="D678">
        <v>0.33800000000000002</v>
      </c>
      <c r="E678">
        <v>-4.8319999999999999</v>
      </c>
      <c r="F678">
        <v>258667</v>
      </c>
      <c r="G678">
        <v>0.56299999999999994</v>
      </c>
      <c r="H678">
        <v>232</v>
      </c>
      <c r="I678">
        <v>0.59799999999999998</v>
      </c>
      <c r="J678">
        <v>0.17</v>
      </c>
      <c r="K678" t="s">
        <v>2013</v>
      </c>
      <c r="L678">
        <v>19</v>
      </c>
      <c r="M678">
        <v>0.746</v>
      </c>
      <c r="N678">
        <v>186.11799999999999</v>
      </c>
      <c r="O678" s="1">
        <v>5.5799999999999999E-6</v>
      </c>
      <c r="P678">
        <v>0</v>
      </c>
      <c r="Q678">
        <v>5</v>
      </c>
      <c r="R678" t="s">
        <v>2014</v>
      </c>
      <c r="S678" t="s">
        <v>1471</v>
      </c>
      <c r="T678">
        <f>I678*-0.5+M678*0.5</f>
        <v>7.400000000000001E-2</v>
      </c>
      <c r="U678">
        <f>I678*0.7+M678*-0.25+D678*-0.25</f>
        <v>0.14759999999999995</v>
      </c>
      <c r="V678">
        <f>J678*0.5+I678*-0.5</f>
        <v>-0.21399999999999997</v>
      </c>
      <c r="W678">
        <f>M678*0.5+G678*0.25+I678*0.25</f>
        <v>0.6632499999999999</v>
      </c>
    </row>
    <row r="679" spans="1:23" x14ac:dyDescent="0.2">
      <c r="A679">
        <v>8.8400000000000006E-2</v>
      </c>
      <c r="B679">
        <v>10</v>
      </c>
      <c r="C679">
        <v>4</v>
      </c>
      <c r="D679">
        <v>0.25900000000000001</v>
      </c>
      <c r="E679">
        <v>-3.4279999999999999</v>
      </c>
      <c r="F679">
        <v>234453</v>
      </c>
      <c r="G679">
        <v>0.59499999999999997</v>
      </c>
      <c r="H679">
        <v>204</v>
      </c>
      <c r="I679">
        <v>0.76500000000000001</v>
      </c>
      <c r="J679">
        <v>4.3499999999999997E-2</v>
      </c>
      <c r="K679" t="s">
        <v>1239</v>
      </c>
      <c r="L679">
        <v>37</v>
      </c>
      <c r="M679">
        <v>0.91300000000000003</v>
      </c>
      <c r="N679">
        <v>128.02099999999999</v>
      </c>
      <c r="O679">
        <v>0</v>
      </c>
      <c r="P679">
        <v>0</v>
      </c>
      <c r="Q679">
        <v>8</v>
      </c>
      <c r="R679" t="s">
        <v>1240</v>
      </c>
      <c r="S679" t="s">
        <v>1241</v>
      </c>
      <c r="T679">
        <f>I679*-0.5+M679*0.5</f>
        <v>7.400000000000001E-2</v>
      </c>
      <c r="U679">
        <f>I679*0.7+M679*-0.25+D679*-0.25</f>
        <v>0.24249999999999997</v>
      </c>
      <c r="V679">
        <f>J679*0.5+I679*-0.5</f>
        <v>-0.36075000000000002</v>
      </c>
      <c r="W679">
        <f>M679*0.5+G679*0.25+I679*0.25</f>
        <v>0.7965000000000001</v>
      </c>
    </row>
    <row r="680" spans="1:23" x14ac:dyDescent="0.2">
      <c r="A680">
        <v>2.9600000000000001E-2</v>
      </c>
      <c r="B680">
        <v>8</v>
      </c>
      <c r="C680">
        <v>4</v>
      </c>
      <c r="D680">
        <v>9.4600000000000004E-2</v>
      </c>
      <c r="E680">
        <v>-5.0039999999999996</v>
      </c>
      <c r="F680">
        <v>221000</v>
      </c>
      <c r="G680">
        <v>0.71599999999999997</v>
      </c>
      <c r="H680">
        <v>220</v>
      </c>
      <c r="I680">
        <v>0.57799999999999996</v>
      </c>
      <c r="J680">
        <v>5.9799999999999999E-2</v>
      </c>
      <c r="K680" t="s">
        <v>1730</v>
      </c>
      <c r="L680">
        <v>55</v>
      </c>
      <c r="M680">
        <v>0.72499999999999998</v>
      </c>
      <c r="N680">
        <v>122.011</v>
      </c>
      <c r="O680">
        <v>0</v>
      </c>
      <c r="P680">
        <v>1</v>
      </c>
      <c r="Q680">
        <v>18</v>
      </c>
      <c r="R680" t="s">
        <v>1731</v>
      </c>
      <c r="S680" t="s">
        <v>811</v>
      </c>
      <c r="T680">
        <f>I680*-0.5+M680*0.5</f>
        <v>7.350000000000001E-2</v>
      </c>
      <c r="U680">
        <f>I680*0.7+M680*-0.25+D680*-0.25</f>
        <v>0.19969999999999996</v>
      </c>
      <c r="V680">
        <f>J680*0.5+I680*-0.5</f>
        <v>-0.2591</v>
      </c>
      <c r="W680">
        <f>M680*0.5+G680*0.25+I680*0.25</f>
        <v>0.68599999999999994</v>
      </c>
    </row>
    <row r="681" spans="1:23" x14ac:dyDescent="0.2">
      <c r="A681">
        <v>5.5199999999999999E-2</v>
      </c>
      <c r="B681">
        <v>11</v>
      </c>
      <c r="C681">
        <v>4</v>
      </c>
      <c r="D681">
        <v>0.154</v>
      </c>
      <c r="E681">
        <v>-4.3259999999999996</v>
      </c>
      <c r="F681">
        <v>222027</v>
      </c>
      <c r="G681">
        <v>0.64100000000000001</v>
      </c>
      <c r="H681">
        <v>221</v>
      </c>
      <c r="I681">
        <v>0.57399999999999995</v>
      </c>
      <c r="J681">
        <v>1.0200000000000001E-2</v>
      </c>
      <c r="K681" t="s">
        <v>1533</v>
      </c>
      <c r="L681">
        <v>26</v>
      </c>
      <c r="M681">
        <v>0.72</v>
      </c>
      <c r="N681">
        <v>77.968999999999994</v>
      </c>
      <c r="O681">
        <v>0</v>
      </c>
      <c r="P681">
        <v>1</v>
      </c>
      <c r="Q681">
        <v>10</v>
      </c>
      <c r="R681" t="s">
        <v>1534</v>
      </c>
      <c r="S681" t="s">
        <v>1535</v>
      </c>
      <c r="T681">
        <f>I681*-0.5+M681*0.5</f>
        <v>7.3000000000000009E-2</v>
      </c>
      <c r="U681">
        <f>I681*0.7+M681*-0.25+D681*-0.25</f>
        <v>0.18329999999999994</v>
      </c>
      <c r="V681">
        <f>J681*0.5+I681*-0.5</f>
        <v>-0.28189999999999998</v>
      </c>
      <c r="W681">
        <f>M681*0.5+G681*0.25+I681*0.25</f>
        <v>0.66374999999999995</v>
      </c>
    </row>
    <row r="682" spans="1:23" x14ac:dyDescent="0.2">
      <c r="A682">
        <v>5.4600000000000003E-2</v>
      </c>
      <c r="B682">
        <v>11</v>
      </c>
      <c r="C682">
        <v>4</v>
      </c>
      <c r="D682">
        <v>0.32500000000000001</v>
      </c>
      <c r="E682">
        <v>-4.4710000000000001</v>
      </c>
      <c r="F682">
        <v>201160</v>
      </c>
      <c r="G682">
        <v>0.71399999999999997</v>
      </c>
      <c r="H682">
        <v>200</v>
      </c>
      <c r="I682">
        <v>0.60199999999999998</v>
      </c>
      <c r="J682">
        <v>1.06E-2</v>
      </c>
      <c r="K682" t="s">
        <v>1452</v>
      </c>
      <c r="L682">
        <v>40</v>
      </c>
      <c r="M682">
        <v>0.748</v>
      </c>
      <c r="N682">
        <v>128.03</v>
      </c>
      <c r="O682">
        <v>0</v>
      </c>
      <c r="P682">
        <v>0</v>
      </c>
      <c r="Q682">
        <v>1</v>
      </c>
      <c r="R682" t="s">
        <v>1453</v>
      </c>
      <c r="S682" t="s">
        <v>1454</v>
      </c>
      <c r="T682">
        <f>I682*-0.5+M682*0.5</f>
        <v>7.3000000000000009E-2</v>
      </c>
      <c r="U682">
        <f>I682*0.7+M682*-0.25+D682*-0.25</f>
        <v>0.15314999999999995</v>
      </c>
      <c r="V682">
        <f>J682*0.5+I682*-0.5</f>
        <v>-0.29569999999999996</v>
      </c>
      <c r="W682">
        <f>M682*0.5+G682*0.25+I682*0.25</f>
        <v>0.70299999999999996</v>
      </c>
    </row>
    <row r="683" spans="1:23" x14ac:dyDescent="0.2">
      <c r="A683">
        <v>0.13500000000000001</v>
      </c>
      <c r="B683">
        <v>11</v>
      </c>
      <c r="C683">
        <v>4</v>
      </c>
      <c r="D683">
        <v>0.36799999999999999</v>
      </c>
      <c r="E683">
        <v>-6.3719999999999999</v>
      </c>
      <c r="F683">
        <v>230102</v>
      </c>
      <c r="G683">
        <v>0.70299999999999996</v>
      </c>
      <c r="H683">
        <v>227</v>
      </c>
      <c r="I683">
        <v>0.47099999999999997</v>
      </c>
      <c r="J683">
        <v>0.49199999999999999</v>
      </c>
      <c r="K683" t="s">
        <v>2845</v>
      </c>
      <c r="L683">
        <v>46</v>
      </c>
      <c r="M683">
        <v>0.61599999999999999</v>
      </c>
      <c r="N683">
        <v>86.007000000000005</v>
      </c>
      <c r="O683">
        <v>0</v>
      </c>
      <c r="P683">
        <v>1</v>
      </c>
      <c r="Q683">
        <v>20</v>
      </c>
      <c r="R683" t="s">
        <v>2846</v>
      </c>
      <c r="S683" t="s">
        <v>2847</v>
      </c>
      <c r="T683">
        <f>I683*-0.5+M683*0.5</f>
        <v>7.2500000000000009E-2</v>
      </c>
      <c r="U683">
        <f>I683*0.7+M683*-0.25+D683*-0.25</f>
        <v>8.3699999999999941E-2</v>
      </c>
      <c r="V683">
        <f>J683*0.5+I683*-0.5</f>
        <v>1.0500000000000009E-2</v>
      </c>
      <c r="W683">
        <f>M683*0.5+G683*0.25+I683*0.25</f>
        <v>0.60150000000000003</v>
      </c>
    </row>
    <row r="684" spans="1:23" x14ac:dyDescent="0.2">
      <c r="A684">
        <v>7.0699999999999999E-2</v>
      </c>
      <c r="B684">
        <v>4</v>
      </c>
      <c r="C684">
        <v>4</v>
      </c>
      <c r="D684">
        <v>0.47299999999999998</v>
      </c>
      <c r="E684">
        <v>-5.1150000000000002</v>
      </c>
      <c r="F684">
        <v>221227</v>
      </c>
      <c r="G684">
        <v>0.78600000000000003</v>
      </c>
      <c r="H684">
        <v>220</v>
      </c>
      <c r="I684">
        <v>0.69699999999999995</v>
      </c>
      <c r="J684">
        <v>3.0500000000000002E-3</v>
      </c>
      <c r="K684" t="s">
        <v>1230</v>
      </c>
      <c r="L684">
        <v>6</v>
      </c>
      <c r="M684">
        <v>0.84199999999999997</v>
      </c>
      <c r="N684">
        <v>97.576999999999998</v>
      </c>
      <c r="O684" s="1">
        <v>3.54E-6</v>
      </c>
      <c r="P684">
        <v>0</v>
      </c>
      <c r="Q684">
        <v>5</v>
      </c>
      <c r="R684" t="s">
        <v>1199</v>
      </c>
      <c r="S684" t="s">
        <v>1231</v>
      </c>
      <c r="T684">
        <f>I684*-0.5+M684*0.5</f>
        <v>7.2500000000000009E-2</v>
      </c>
      <c r="U684">
        <f>I684*0.7+M684*-0.25+D684*-0.25</f>
        <v>0.15914999999999999</v>
      </c>
      <c r="V684">
        <f>J684*0.5+I684*-0.5</f>
        <v>-0.34697499999999998</v>
      </c>
      <c r="W684">
        <f>M684*0.5+G684*0.25+I684*0.25</f>
        <v>0.79174999999999995</v>
      </c>
    </row>
    <row r="685" spans="1:23" x14ac:dyDescent="0.2">
      <c r="A685">
        <v>0.38700000000000001</v>
      </c>
      <c r="B685">
        <v>0</v>
      </c>
      <c r="D685">
        <v>0.28799999999999998</v>
      </c>
      <c r="E685">
        <v>-6.9</v>
      </c>
      <c r="F685">
        <v>257560</v>
      </c>
      <c r="G685">
        <v>0.61899999999999999</v>
      </c>
      <c r="H685">
        <v>232</v>
      </c>
      <c r="I685">
        <v>0.39500000000000002</v>
      </c>
      <c r="J685">
        <v>0.184</v>
      </c>
      <c r="K685" t="s">
        <v>2340</v>
      </c>
      <c r="L685">
        <v>34</v>
      </c>
      <c r="M685">
        <v>0.53900000000000003</v>
      </c>
      <c r="N685">
        <v>145.61799999999999</v>
      </c>
      <c r="O685">
        <v>0</v>
      </c>
      <c r="P685">
        <v>1</v>
      </c>
      <c r="Q685">
        <v>8</v>
      </c>
      <c r="R685" t="s">
        <v>491</v>
      </c>
      <c r="S685" t="s">
        <v>2341</v>
      </c>
      <c r="T685">
        <f>I685*-0.5+M685*0.5</f>
        <v>7.2000000000000008E-2</v>
      </c>
      <c r="U685">
        <f>I685*0.7+M685*-0.25+D685*-0.25</f>
        <v>6.9749999999999965E-2</v>
      </c>
      <c r="V685">
        <f>J685*0.5+I685*-0.5</f>
        <v>-0.10550000000000001</v>
      </c>
      <c r="W685">
        <f>M685*0.5+G685*0.25+I685*0.25</f>
        <v>0.52300000000000002</v>
      </c>
    </row>
    <row r="686" spans="1:23" x14ac:dyDescent="0.2">
      <c r="A686">
        <v>4.9700000000000001E-2</v>
      </c>
      <c r="B686">
        <v>9</v>
      </c>
      <c r="C686">
        <v>4</v>
      </c>
      <c r="D686">
        <v>0.10100000000000001</v>
      </c>
      <c r="E686">
        <v>-13.978</v>
      </c>
      <c r="F686">
        <v>188207</v>
      </c>
      <c r="G686">
        <v>0.83</v>
      </c>
      <c r="H686">
        <v>185</v>
      </c>
      <c r="I686">
        <v>0.17199999999999999</v>
      </c>
      <c r="J686">
        <v>0.31900000000000001</v>
      </c>
      <c r="K686" t="s">
        <v>2817</v>
      </c>
      <c r="L686">
        <v>61</v>
      </c>
      <c r="M686">
        <v>0.315</v>
      </c>
      <c r="N686">
        <v>104.045</v>
      </c>
      <c r="O686">
        <v>1.1299999999999999E-2</v>
      </c>
      <c r="P686">
        <v>0</v>
      </c>
      <c r="Q686">
        <v>21</v>
      </c>
      <c r="R686" t="s">
        <v>2818</v>
      </c>
      <c r="S686" t="s">
        <v>2819</v>
      </c>
      <c r="T686">
        <f>I686*-0.5+M686*0.5</f>
        <v>7.1500000000000008E-2</v>
      </c>
      <c r="U686">
        <f>I686*0.7+M686*-0.25+D686*-0.25</f>
        <v>1.6399999999999977E-2</v>
      </c>
      <c r="V686">
        <f>J686*0.5+I686*-0.5</f>
        <v>7.350000000000001E-2</v>
      </c>
      <c r="W686">
        <f>M686*0.5+G686*0.25+I686*0.25</f>
        <v>0.40799999999999997</v>
      </c>
    </row>
    <row r="687" spans="1:23" x14ac:dyDescent="0.2">
      <c r="A687">
        <v>3.1899999999999998E-2</v>
      </c>
      <c r="B687">
        <v>8</v>
      </c>
      <c r="C687">
        <v>4</v>
      </c>
      <c r="D687">
        <v>0.16400000000000001</v>
      </c>
      <c r="E687">
        <v>-7.4390000000000001</v>
      </c>
      <c r="F687">
        <v>202627</v>
      </c>
      <c r="G687">
        <v>0.57099999999999995</v>
      </c>
      <c r="H687">
        <v>205</v>
      </c>
      <c r="I687">
        <v>0.28699999999999998</v>
      </c>
      <c r="J687">
        <v>0.81200000000000006</v>
      </c>
      <c r="K687" t="s">
        <v>3086</v>
      </c>
      <c r="L687">
        <v>49</v>
      </c>
      <c r="M687">
        <v>0.43</v>
      </c>
      <c r="N687">
        <v>77.960999999999999</v>
      </c>
      <c r="O687" s="1">
        <v>7.9900000000000004E-5</v>
      </c>
      <c r="P687">
        <v>1</v>
      </c>
      <c r="Q687">
        <v>16</v>
      </c>
      <c r="R687" t="s">
        <v>766</v>
      </c>
      <c r="S687" t="s">
        <v>3087</v>
      </c>
      <c r="T687">
        <f>I687*-0.5+M687*0.5</f>
        <v>7.1500000000000008E-2</v>
      </c>
      <c r="U687">
        <f>I687*0.7+M687*-0.25+D687*-0.25</f>
        <v>5.2399999999999967E-2</v>
      </c>
      <c r="V687">
        <f>J687*0.5+I687*-0.5</f>
        <v>0.26250000000000007</v>
      </c>
      <c r="W687">
        <f>M687*0.5+G687*0.25+I687*0.25</f>
        <v>0.42949999999999999</v>
      </c>
    </row>
    <row r="688" spans="1:23" x14ac:dyDescent="0.2">
      <c r="A688">
        <v>4.02E-2</v>
      </c>
      <c r="B688">
        <v>4</v>
      </c>
      <c r="C688">
        <v>4</v>
      </c>
      <c r="D688">
        <v>7.2599999999999998E-2</v>
      </c>
      <c r="E688">
        <v>-6.4109999999999996</v>
      </c>
      <c r="F688">
        <v>213107</v>
      </c>
      <c r="G688">
        <v>0.71399999999999997</v>
      </c>
      <c r="H688">
        <v>211</v>
      </c>
      <c r="I688">
        <v>0.58199999999999996</v>
      </c>
      <c r="J688">
        <v>1.5599999999999999E-2</v>
      </c>
      <c r="K688" t="s">
        <v>1556</v>
      </c>
      <c r="L688">
        <v>30</v>
      </c>
      <c r="M688">
        <v>0.72499999999999998</v>
      </c>
      <c r="N688">
        <v>99.988</v>
      </c>
      <c r="O688">
        <v>0</v>
      </c>
      <c r="P688">
        <v>1</v>
      </c>
      <c r="Q688">
        <v>13</v>
      </c>
      <c r="R688" t="s">
        <v>155</v>
      </c>
      <c r="S688" t="s">
        <v>1557</v>
      </c>
      <c r="T688">
        <f>I688*-0.5+M688*0.5</f>
        <v>7.1500000000000008E-2</v>
      </c>
      <c r="U688">
        <f>I688*0.7+M688*-0.25+D688*-0.25</f>
        <v>0.20799999999999993</v>
      </c>
      <c r="V688">
        <f>J688*0.5+I688*-0.5</f>
        <v>-0.28320000000000001</v>
      </c>
      <c r="W688">
        <f>M688*0.5+G688*0.25+I688*0.25</f>
        <v>0.68649999999999989</v>
      </c>
    </row>
    <row r="689" spans="1:23" x14ac:dyDescent="0.2">
      <c r="A689">
        <v>6.4199999999999993E-2</v>
      </c>
      <c r="B689">
        <v>10</v>
      </c>
      <c r="C689">
        <v>4</v>
      </c>
      <c r="D689">
        <v>5.3199999999999997E-2</v>
      </c>
      <c r="E689">
        <v>-5.3929999999999998</v>
      </c>
      <c r="F689">
        <v>235012</v>
      </c>
      <c r="G689">
        <v>0.69</v>
      </c>
      <c r="H689">
        <v>234</v>
      </c>
      <c r="I689">
        <v>0.79400000000000004</v>
      </c>
      <c r="J689">
        <v>8.9399999999999993E-2</v>
      </c>
      <c r="K689" t="s">
        <v>1395</v>
      </c>
      <c r="L689">
        <v>52</v>
      </c>
      <c r="M689">
        <v>0.93700000000000006</v>
      </c>
      <c r="N689">
        <v>122.95099999999999</v>
      </c>
      <c r="O689">
        <v>1.0399999999999999E-4</v>
      </c>
      <c r="P689">
        <v>1</v>
      </c>
      <c r="Q689">
        <v>9</v>
      </c>
      <c r="R689" t="s">
        <v>1396</v>
      </c>
      <c r="S689" t="s">
        <v>1397</v>
      </c>
      <c r="T689">
        <f>I689*-0.5+M689*0.5</f>
        <v>7.1500000000000008E-2</v>
      </c>
      <c r="U689">
        <f>I689*0.7+M689*-0.25+D689*-0.25</f>
        <v>0.30824999999999997</v>
      </c>
      <c r="V689">
        <f>J689*0.5+I689*-0.5</f>
        <v>-0.3523</v>
      </c>
      <c r="W689">
        <f>M689*0.5+G689*0.25+I689*0.25</f>
        <v>0.83950000000000002</v>
      </c>
    </row>
    <row r="690" spans="1:23" x14ac:dyDescent="0.2">
      <c r="A690">
        <v>6.3799999999999996E-2</v>
      </c>
      <c r="B690">
        <v>6</v>
      </c>
      <c r="C690">
        <v>4</v>
      </c>
      <c r="D690">
        <v>9.4700000000000006E-2</v>
      </c>
      <c r="E690">
        <v>-3.7509999999999999</v>
      </c>
      <c r="F690">
        <v>198267</v>
      </c>
      <c r="G690">
        <v>0.48599999999999999</v>
      </c>
      <c r="H690">
        <v>195</v>
      </c>
      <c r="I690">
        <v>0.76300000000000001</v>
      </c>
      <c r="J690" s="1">
        <v>3.43E-5</v>
      </c>
      <c r="K690" t="s">
        <v>1121</v>
      </c>
      <c r="L690">
        <v>16</v>
      </c>
      <c r="M690">
        <v>0.90400000000000003</v>
      </c>
      <c r="N690">
        <v>173.73400000000001</v>
      </c>
      <c r="O690" s="1">
        <v>2.83E-5</v>
      </c>
      <c r="P690">
        <v>0</v>
      </c>
      <c r="Q690">
        <v>16</v>
      </c>
      <c r="R690" t="s">
        <v>1122</v>
      </c>
      <c r="S690" t="s">
        <v>1123</v>
      </c>
      <c r="T690">
        <f>I690*-0.5+M690*0.5</f>
        <v>7.0500000000000007E-2</v>
      </c>
      <c r="U690">
        <f>I690*0.7+M690*-0.25+D690*-0.25</f>
        <v>0.28442500000000004</v>
      </c>
      <c r="V690">
        <f>J690*0.5+I690*-0.5</f>
        <v>-0.38148284999999998</v>
      </c>
      <c r="W690">
        <f>M690*0.5+G690*0.25+I690*0.25</f>
        <v>0.76424999999999998</v>
      </c>
    </row>
    <row r="691" spans="1:23" x14ac:dyDescent="0.2">
      <c r="A691">
        <v>7.7200000000000005E-2</v>
      </c>
      <c r="B691">
        <v>10</v>
      </c>
      <c r="C691">
        <v>4</v>
      </c>
      <c r="D691">
        <v>0.33100000000000002</v>
      </c>
      <c r="E691">
        <v>-3.3180000000000001</v>
      </c>
      <c r="F691">
        <v>204800</v>
      </c>
      <c r="G691">
        <v>0.69599999999999995</v>
      </c>
      <c r="H691">
        <v>233</v>
      </c>
      <c r="I691">
        <v>0.73399999999999999</v>
      </c>
      <c r="J691">
        <v>0.11700000000000001</v>
      </c>
      <c r="K691" t="s">
        <v>1675</v>
      </c>
      <c r="L691">
        <v>7</v>
      </c>
      <c r="M691">
        <v>0.874</v>
      </c>
      <c r="N691">
        <v>104.196</v>
      </c>
      <c r="O691">
        <v>0</v>
      </c>
      <c r="P691">
        <v>0</v>
      </c>
      <c r="Q691">
        <v>6</v>
      </c>
      <c r="R691" t="s">
        <v>1005</v>
      </c>
      <c r="S691" t="s">
        <v>1676</v>
      </c>
      <c r="T691">
        <f>I691*-0.5+M691*0.5</f>
        <v>7.0000000000000007E-2</v>
      </c>
      <c r="U691">
        <f>I691*0.7+M691*-0.25+D691*-0.25</f>
        <v>0.21254999999999991</v>
      </c>
      <c r="V691">
        <f>J691*0.5+I691*-0.5</f>
        <v>-0.3085</v>
      </c>
      <c r="W691">
        <f>M691*0.5+G691*0.25+I691*0.25</f>
        <v>0.79449999999999998</v>
      </c>
    </row>
    <row r="692" spans="1:23" x14ac:dyDescent="0.2">
      <c r="A692">
        <v>4.2999999999999997E-2</v>
      </c>
      <c r="B692">
        <v>0</v>
      </c>
      <c r="C692">
        <v>4</v>
      </c>
      <c r="D692">
        <v>0.32400000000000001</v>
      </c>
      <c r="E692">
        <v>-4.4530000000000003</v>
      </c>
      <c r="F692">
        <v>205680</v>
      </c>
      <c r="G692">
        <v>0.73099999999999998</v>
      </c>
      <c r="H692">
        <v>204</v>
      </c>
      <c r="I692">
        <v>0.77500000000000002</v>
      </c>
      <c r="J692">
        <v>1.91E-3</v>
      </c>
      <c r="K692" t="s">
        <v>1107</v>
      </c>
      <c r="L692">
        <v>43</v>
      </c>
      <c r="M692">
        <v>0.91500000000000004</v>
      </c>
      <c r="N692">
        <v>127.086</v>
      </c>
      <c r="O692" s="1">
        <v>1.1599999999999999E-6</v>
      </c>
      <c r="P692">
        <v>1</v>
      </c>
      <c r="Q692">
        <v>9</v>
      </c>
      <c r="R692" t="s">
        <v>1108</v>
      </c>
      <c r="S692" t="s">
        <v>1109</v>
      </c>
      <c r="T692">
        <f>I692*-0.5+M692*0.5</f>
        <v>7.0000000000000007E-2</v>
      </c>
      <c r="U692">
        <f>I692*0.7+M692*-0.25+D692*-0.25</f>
        <v>0.23274999999999996</v>
      </c>
      <c r="V692">
        <f>J692*0.5+I692*-0.5</f>
        <v>-0.38654500000000003</v>
      </c>
      <c r="W692">
        <f>M692*0.5+G692*0.25+I692*0.25</f>
        <v>0.83399999999999996</v>
      </c>
    </row>
    <row r="693" spans="1:23" x14ac:dyDescent="0.2">
      <c r="A693">
        <v>3.0599999999999999E-2</v>
      </c>
      <c r="B693">
        <v>5</v>
      </c>
      <c r="C693">
        <v>4</v>
      </c>
      <c r="D693">
        <v>0.35299999999999998</v>
      </c>
      <c r="E693">
        <v>-5.9189999999999996</v>
      </c>
      <c r="F693">
        <v>178787</v>
      </c>
      <c r="G693">
        <v>0.57799999999999996</v>
      </c>
      <c r="H693">
        <v>176</v>
      </c>
      <c r="I693">
        <v>0.371</v>
      </c>
      <c r="J693">
        <v>0.68700000000000006</v>
      </c>
      <c r="K693" t="s">
        <v>3038</v>
      </c>
      <c r="L693">
        <v>53</v>
      </c>
      <c r="M693">
        <v>0.51</v>
      </c>
      <c r="N693">
        <v>122.014</v>
      </c>
      <c r="O693" s="1">
        <v>3.9999999999999998E-6</v>
      </c>
      <c r="P693">
        <v>1</v>
      </c>
      <c r="Q693">
        <v>21</v>
      </c>
      <c r="R693" t="s">
        <v>3039</v>
      </c>
      <c r="S693" t="s">
        <v>3040</v>
      </c>
      <c r="T693">
        <f>I693*-0.5+M693*0.5</f>
        <v>6.9500000000000006E-2</v>
      </c>
      <c r="U693">
        <f>I693*0.7+M693*-0.25+D693*-0.25</f>
        <v>4.3949999999999989E-2</v>
      </c>
      <c r="V693">
        <f>J693*0.5+I693*-0.5</f>
        <v>0.15800000000000003</v>
      </c>
      <c r="W693">
        <f>M693*0.5+G693*0.25+I693*0.25</f>
        <v>0.49224999999999997</v>
      </c>
    </row>
    <row r="694" spans="1:23" x14ac:dyDescent="0.2">
      <c r="A694">
        <v>3.7400000000000003E-2</v>
      </c>
      <c r="B694">
        <v>10</v>
      </c>
      <c r="C694">
        <v>4</v>
      </c>
      <c r="D694">
        <v>0.10100000000000001</v>
      </c>
      <c r="E694">
        <v>-6.8929999999999998</v>
      </c>
      <c r="F694">
        <v>233867</v>
      </c>
      <c r="G694">
        <v>0.70099999999999996</v>
      </c>
      <c r="H694">
        <v>233</v>
      </c>
      <c r="I694">
        <v>0.40300000000000002</v>
      </c>
      <c r="J694">
        <v>5.3600000000000002E-2</v>
      </c>
      <c r="K694" t="s">
        <v>2005</v>
      </c>
      <c r="L694">
        <v>21</v>
      </c>
      <c r="M694">
        <v>0.54200000000000004</v>
      </c>
      <c r="N694">
        <v>143.595</v>
      </c>
      <c r="O694">
        <v>0</v>
      </c>
      <c r="P694">
        <v>0</v>
      </c>
      <c r="Q694">
        <v>1</v>
      </c>
      <c r="R694" t="s">
        <v>2006</v>
      </c>
      <c r="S694" t="s">
        <v>2007</v>
      </c>
      <c r="T694">
        <f>I694*-0.5+M694*0.5</f>
        <v>6.9500000000000006E-2</v>
      </c>
      <c r="U694">
        <f>I694*0.7+M694*-0.25+D694*-0.25</f>
        <v>0.12135000000000001</v>
      </c>
      <c r="V694">
        <f>J694*0.5+I694*-0.5</f>
        <v>-0.17470000000000002</v>
      </c>
      <c r="W694">
        <f>M694*0.5+G694*0.25+I694*0.25</f>
        <v>0.54700000000000004</v>
      </c>
    </row>
    <row r="695" spans="1:23" x14ac:dyDescent="0.2">
      <c r="A695">
        <v>8.3299999999999999E-2</v>
      </c>
      <c r="B695">
        <v>7</v>
      </c>
      <c r="C695">
        <v>4</v>
      </c>
      <c r="D695">
        <v>0.39600000000000002</v>
      </c>
      <c r="E695">
        <v>-4.7759999999999998</v>
      </c>
      <c r="F695">
        <v>210867</v>
      </c>
      <c r="G695">
        <v>0.66100000000000003</v>
      </c>
      <c r="H695">
        <v>209</v>
      </c>
      <c r="I695">
        <v>0.65700000000000003</v>
      </c>
      <c r="J695">
        <v>3.4700000000000002E-2</v>
      </c>
      <c r="K695" t="s">
        <v>1495</v>
      </c>
      <c r="L695">
        <v>18</v>
      </c>
      <c r="M695">
        <v>0.79600000000000004</v>
      </c>
      <c r="N695">
        <v>87.981999999999999</v>
      </c>
      <c r="O695">
        <v>0</v>
      </c>
      <c r="P695">
        <v>1</v>
      </c>
      <c r="Q695">
        <v>8</v>
      </c>
      <c r="R695" t="s">
        <v>1496</v>
      </c>
      <c r="S695" t="s">
        <v>1497</v>
      </c>
      <c r="T695">
        <f>I695*-0.5+M695*0.5</f>
        <v>6.9500000000000006E-2</v>
      </c>
      <c r="U695">
        <f>I695*0.7+M695*-0.25+D695*-0.25</f>
        <v>0.16189999999999996</v>
      </c>
      <c r="V695">
        <f>J695*0.5+I695*-0.5</f>
        <v>-0.31115000000000004</v>
      </c>
      <c r="W695">
        <f>M695*0.5+G695*0.25+I695*0.25</f>
        <v>0.72750000000000004</v>
      </c>
    </row>
    <row r="696" spans="1:23" x14ac:dyDescent="0.2">
      <c r="A696">
        <v>8.14E-2</v>
      </c>
      <c r="B696">
        <v>11</v>
      </c>
      <c r="C696">
        <v>4</v>
      </c>
      <c r="D696">
        <v>0.33600000000000002</v>
      </c>
      <c r="E696">
        <v>-5.5640000000000001</v>
      </c>
      <c r="F696">
        <v>187053</v>
      </c>
      <c r="G696">
        <v>0.48699999999999999</v>
      </c>
      <c r="H696">
        <v>186</v>
      </c>
      <c r="I696">
        <v>0.63300000000000001</v>
      </c>
      <c r="J696">
        <v>1.8800000000000001E-2</v>
      </c>
      <c r="K696" t="s">
        <v>1484</v>
      </c>
      <c r="L696">
        <v>38</v>
      </c>
      <c r="M696">
        <v>0.77100000000000002</v>
      </c>
      <c r="N696">
        <v>85.012</v>
      </c>
      <c r="O696">
        <v>0</v>
      </c>
      <c r="P696">
        <v>0</v>
      </c>
      <c r="Q696">
        <v>20</v>
      </c>
      <c r="R696" t="s">
        <v>1485</v>
      </c>
      <c r="S696" t="s">
        <v>1486</v>
      </c>
      <c r="T696">
        <f>I696*-0.5+M696*0.5</f>
        <v>6.9000000000000006E-2</v>
      </c>
      <c r="U696">
        <f>I696*0.7+M696*-0.25+D696*-0.25</f>
        <v>0.16634999999999994</v>
      </c>
      <c r="V696">
        <f>J696*0.5+I696*-0.5</f>
        <v>-0.30709999999999998</v>
      </c>
      <c r="W696">
        <f>M696*0.5+G696*0.25+I696*0.25</f>
        <v>0.66549999999999998</v>
      </c>
    </row>
    <row r="697" spans="1:23" x14ac:dyDescent="0.2">
      <c r="A697">
        <v>4.8800000000000003E-2</v>
      </c>
      <c r="B697">
        <v>0</v>
      </c>
      <c r="C697">
        <v>4</v>
      </c>
      <c r="D697">
        <v>0.104</v>
      </c>
      <c r="E697">
        <v>-6.0679999999999996</v>
      </c>
      <c r="F697">
        <v>205267</v>
      </c>
      <c r="G697">
        <v>0.66600000000000004</v>
      </c>
      <c r="H697">
        <v>204</v>
      </c>
      <c r="I697">
        <v>0.65400000000000003</v>
      </c>
      <c r="J697">
        <v>5.9299999999999999E-2</v>
      </c>
      <c r="K697" t="s">
        <v>1620</v>
      </c>
      <c r="L697">
        <v>5</v>
      </c>
      <c r="M697">
        <v>0.79200000000000004</v>
      </c>
      <c r="N697">
        <v>123.914</v>
      </c>
      <c r="O697" s="1">
        <v>1.13E-6</v>
      </c>
      <c r="P697">
        <v>1</v>
      </c>
      <c r="Q697">
        <v>2</v>
      </c>
      <c r="R697" t="s">
        <v>1621</v>
      </c>
      <c r="S697" t="s">
        <v>1622</v>
      </c>
      <c r="T697">
        <f>I697*-0.5+M697*0.5</f>
        <v>6.9000000000000006E-2</v>
      </c>
      <c r="U697">
        <f>I697*0.7+M697*-0.25+D697*-0.25</f>
        <v>0.23379999999999998</v>
      </c>
      <c r="V697">
        <f>J697*0.5+I697*-0.5</f>
        <v>-0.29735</v>
      </c>
      <c r="W697">
        <f>M697*0.5+G697*0.25+I697*0.25</f>
        <v>0.72599999999999998</v>
      </c>
    </row>
    <row r="698" spans="1:23" x14ac:dyDescent="0.2">
      <c r="A698">
        <v>9.0399999999999994E-2</v>
      </c>
      <c r="B698">
        <v>6</v>
      </c>
      <c r="C698">
        <v>4</v>
      </c>
      <c r="D698">
        <v>0.247</v>
      </c>
      <c r="E698">
        <v>-7.4279999999999999</v>
      </c>
      <c r="F698">
        <v>193059</v>
      </c>
      <c r="G698">
        <v>0.69599999999999995</v>
      </c>
      <c r="H698">
        <v>191</v>
      </c>
      <c r="I698">
        <v>0.45200000000000001</v>
      </c>
      <c r="J698">
        <v>0.151</v>
      </c>
      <c r="K698" t="s">
        <v>2200</v>
      </c>
      <c r="L698">
        <v>50</v>
      </c>
      <c r="M698">
        <v>0.59</v>
      </c>
      <c r="N698">
        <v>99.983999999999995</v>
      </c>
      <c r="O698">
        <v>0</v>
      </c>
      <c r="P698">
        <v>1</v>
      </c>
      <c r="Q698">
        <v>6</v>
      </c>
      <c r="R698" t="s">
        <v>2201</v>
      </c>
      <c r="S698" t="s">
        <v>2202</v>
      </c>
      <c r="T698">
        <f>I698*-0.5+M698*0.5</f>
        <v>6.8999999999999978E-2</v>
      </c>
      <c r="U698">
        <f>I698*0.7+M698*-0.25+D698*-0.25</f>
        <v>0.10715000000000002</v>
      </c>
      <c r="V698">
        <f>J698*0.5+I698*-0.5</f>
        <v>-0.15050000000000002</v>
      </c>
      <c r="W698">
        <f>M698*0.5+G698*0.25+I698*0.25</f>
        <v>0.58199999999999996</v>
      </c>
    </row>
    <row r="699" spans="1:23" x14ac:dyDescent="0.2">
      <c r="A699">
        <v>3.5999999999999997E-2</v>
      </c>
      <c r="B699">
        <v>4</v>
      </c>
      <c r="C699">
        <v>4</v>
      </c>
      <c r="D699">
        <v>0.11899999999999999</v>
      </c>
      <c r="E699">
        <v>-7.34</v>
      </c>
      <c r="F699">
        <v>232453</v>
      </c>
      <c r="G699">
        <v>0.64500000000000002</v>
      </c>
      <c r="H699">
        <v>232</v>
      </c>
      <c r="I699">
        <v>0.65500000000000003</v>
      </c>
      <c r="J699">
        <v>5.62E-2</v>
      </c>
      <c r="K699" t="s">
        <v>1610</v>
      </c>
      <c r="L699">
        <v>6</v>
      </c>
      <c r="M699">
        <v>0.79200000000000004</v>
      </c>
      <c r="N699">
        <v>90.564999999999998</v>
      </c>
      <c r="O699">
        <v>1.21E-2</v>
      </c>
      <c r="P699">
        <v>0</v>
      </c>
      <c r="Q699">
        <v>17</v>
      </c>
      <c r="R699" t="s">
        <v>451</v>
      </c>
      <c r="S699" t="s">
        <v>1611</v>
      </c>
      <c r="T699">
        <f>I699*-0.5+M699*0.5</f>
        <v>6.8500000000000005E-2</v>
      </c>
      <c r="U699">
        <f>I699*0.7+M699*-0.25+D699*-0.25</f>
        <v>0.23074999999999996</v>
      </c>
      <c r="V699">
        <f>J699*0.5+I699*-0.5</f>
        <v>-0.2994</v>
      </c>
      <c r="W699">
        <f>M699*0.5+G699*0.25+I699*0.25</f>
        <v>0.72100000000000009</v>
      </c>
    </row>
    <row r="700" spans="1:23" x14ac:dyDescent="0.2">
      <c r="A700">
        <v>4.8300000000000003E-2</v>
      </c>
      <c r="B700">
        <v>7</v>
      </c>
      <c r="C700">
        <v>4</v>
      </c>
      <c r="D700">
        <v>0.622</v>
      </c>
      <c r="E700">
        <v>-5.0659999999999998</v>
      </c>
      <c r="F700">
        <v>221373</v>
      </c>
      <c r="G700">
        <v>0.58599999999999997</v>
      </c>
      <c r="H700">
        <v>221</v>
      </c>
      <c r="I700">
        <v>0.73499999999999999</v>
      </c>
      <c r="J700">
        <v>1.7999999999999999E-2</v>
      </c>
      <c r="K700" t="s">
        <v>1260</v>
      </c>
      <c r="L700">
        <v>1</v>
      </c>
      <c r="M700">
        <v>0.872</v>
      </c>
      <c r="N700">
        <v>159.92500000000001</v>
      </c>
      <c r="O700">
        <v>0</v>
      </c>
      <c r="P700">
        <v>1</v>
      </c>
      <c r="Q700">
        <v>16</v>
      </c>
      <c r="R700" t="s">
        <v>1261</v>
      </c>
      <c r="S700" t="s">
        <v>1262</v>
      </c>
      <c r="T700">
        <f>I700*-0.5+M700*0.5</f>
        <v>6.8500000000000005E-2</v>
      </c>
      <c r="U700">
        <f>I700*0.7+M700*-0.25+D700*-0.25</f>
        <v>0.14099999999999999</v>
      </c>
      <c r="V700">
        <f>J700*0.5+I700*-0.5</f>
        <v>-0.35849999999999999</v>
      </c>
      <c r="W700">
        <f>M700*0.5+G700*0.25+I700*0.25</f>
        <v>0.76624999999999999</v>
      </c>
    </row>
    <row r="701" spans="1:23" x14ac:dyDescent="0.2">
      <c r="A701">
        <v>4.8599999999999997E-2</v>
      </c>
      <c r="B701">
        <v>6</v>
      </c>
      <c r="C701">
        <v>4</v>
      </c>
      <c r="D701">
        <v>0.48199999999999998</v>
      </c>
      <c r="E701">
        <v>-7.5049999999999999</v>
      </c>
      <c r="F701">
        <v>237507</v>
      </c>
      <c r="G701">
        <v>0.63400000000000001</v>
      </c>
      <c r="H701">
        <v>237</v>
      </c>
      <c r="I701">
        <v>0.51300000000000001</v>
      </c>
      <c r="J701">
        <v>3.15E-2</v>
      </c>
      <c r="K701" t="s">
        <v>1798</v>
      </c>
      <c r="L701">
        <v>27</v>
      </c>
      <c r="M701">
        <v>0.64900000000000002</v>
      </c>
      <c r="N701">
        <v>90.481999999999999</v>
      </c>
      <c r="O701">
        <v>0</v>
      </c>
      <c r="P701">
        <v>0</v>
      </c>
      <c r="Q701">
        <v>9</v>
      </c>
      <c r="R701" t="s">
        <v>1799</v>
      </c>
      <c r="S701" t="s">
        <v>1800</v>
      </c>
      <c r="T701">
        <f>I701*-0.5+M701*0.5</f>
        <v>6.8000000000000005E-2</v>
      </c>
      <c r="U701">
        <f>I701*0.7+M701*-0.25+D701*-0.25</f>
        <v>7.6349999999999973E-2</v>
      </c>
      <c r="V701">
        <f>J701*0.5+I701*-0.5</f>
        <v>-0.24075000000000002</v>
      </c>
      <c r="W701">
        <f>M701*0.5+G701*0.25+I701*0.25</f>
        <v>0.61124999999999996</v>
      </c>
    </row>
    <row r="702" spans="1:23" x14ac:dyDescent="0.2">
      <c r="A702">
        <v>3.8699999999999998E-2</v>
      </c>
      <c r="B702">
        <v>7</v>
      </c>
      <c r="C702">
        <v>4</v>
      </c>
      <c r="D702">
        <v>0.14199999999999999</v>
      </c>
      <c r="E702">
        <v>-4.9269999999999996</v>
      </c>
      <c r="F702">
        <v>227360</v>
      </c>
      <c r="G702">
        <v>0.61599999999999999</v>
      </c>
      <c r="H702">
        <v>224</v>
      </c>
      <c r="I702">
        <v>0.64200000000000002</v>
      </c>
      <c r="J702">
        <v>5.45E-2</v>
      </c>
      <c r="K702" t="s">
        <v>1631</v>
      </c>
      <c r="L702">
        <v>53</v>
      </c>
      <c r="M702">
        <v>0.77800000000000002</v>
      </c>
      <c r="N702">
        <v>83.064999999999998</v>
      </c>
      <c r="O702">
        <v>0</v>
      </c>
      <c r="P702">
        <v>0</v>
      </c>
      <c r="Q702">
        <v>9</v>
      </c>
      <c r="R702" t="s">
        <v>140</v>
      </c>
      <c r="S702" t="s">
        <v>1632</v>
      </c>
      <c r="T702">
        <f>I702*-0.5+M702*0.5</f>
        <v>6.8000000000000005E-2</v>
      </c>
      <c r="U702">
        <f>I702*0.7+M702*-0.25+D702*-0.25</f>
        <v>0.21939999999999996</v>
      </c>
      <c r="V702">
        <f>J702*0.5+I702*-0.5</f>
        <v>-0.29375000000000001</v>
      </c>
      <c r="W702">
        <f>M702*0.5+G702*0.25+I702*0.25</f>
        <v>0.70350000000000001</v>
      </c>
    </row>
    <row r="703" spans="1:23" x14ac:dyDescent="0.2">
      <c r="A703">
        <v>4.6800000000000001E-2</v>
      </c>
      <c r="B703">
        <v>1</v>
      </c>
      <c r="C703">
        <v>4</v>
      </c>
      <c r="D703">
        <v>9.7600000000000006E-2</v>
      </c>
      <c r="E703">
        <v>-4.0860000000000003</v>
      </c>
      <c r="F703">
        <v>189373</v>
      </c>
      <c r="G703">
        <v>0.63100000000000001</v>
      </c>
      <c r="H703">
        <v>179</v>
      </c>
      <c r="I703">
        <v>0.65800000000000003</v>
      </c>
      <c r="J703">
        <v>2.1800000000000001E-4</v>
      </c>
      <c r="K703" t="s">
        <v>1354</v>
      </c>
      <c r="L703">
        <v>27</v>
      </c>
      <c r="M703">
        <v>0.79300000000000004</v>
      </c>
      <c r="N703">
        <v>136.96</v>
      </c>
      <c r="O703" s="1">
        <v>5.6499999999999998E-5</v>
      </c>
      <c r="P703">
        <v>0</v>
      </c>
      <c r="Q703">
        <v>16</v>
      </c>
      <c r="R703" t="s">
        <v>953</v>
      </c>
      <c r="S703" t="s">
        <v>1355</v>
      </c>
      <c r="T703">
        <f>I703*-0.5+M703*0.5</f>
        <v>6.7500000000000004E-2</v>
      </c>
      <c r="U703">
        <f>I703*0.7+M703*-0.25+D703*-0.25</f>
        <v>0.23794999999999997</v>
      </c>
      <c r="V703">
        <f>J703*0.5+I703*-0.5</f>
        <v>-0.32889099999999999</v>
      </c>
      <c r="W703">
        <f>M703*0.5+G703*0.25+I703*0.25</f>
        <v>0.71875</v>
      </c>
    </row>
    <row r="704" spans="1:23" x14ac:dyDescent="0.2">
      <c r="A704">
        <v>8.6999999999999994E-2</v>
      </c>
      <c r="B704">
        <v>11</v>
      </c>
      <c r="C704">
        <v>4</v>
      </c>
      <c r="D704">
        <v>0.69099999999999995</v>
      </c>
      <c r="E704">
        <v>-4.6219999999999999</v>
      </c>
      <c r="F704">
        <v>215920</v>
      </c>
      <c r="G704">
        <v>0.51</v>
      </c>
      <c r="H704">
        <v>220</v>
      </c>
      <c r="I704">
        <v>0.71199999999999997</v>
      </c>
      <c r="J704">
        <v>0.105</v>
      </c>
      <c r="K704" t="s">
        <v>1711</v>
      </c>
      <c r="L704">
        <v>16</v>
      </c>
      <c r="M704">
        <v>0.84699999999999998</v>
      </c>
      <c r="N704">
        <v>184.94200000000001</v>
      </c>
      <c r="O704">
        <v>0</v>
      </c>
      <c r="P704">
        <v>1</v>
      </c>
      <c r="Q704">
        <v>20</v>
      </c>
      <c r="R704" t="s">
        <v>1712</v>
      </c>
      <c r="S704" t="s">
        <v>1713</v>
      </c>
      <c r="T704">
        <f>I704*-0.5+M704*0.5</f>
        <v>6.7500000000000004E-2</v>
      </c>
      <c r="U704">
        <f>I704*0.7+M704*-0.25+D704*-0.25</f>
        <v>0.11389999999999997</v>
      </c>
      <c r="V704">
        <f>J704*0.5+I704*-0.5</f>
        <v>-0.30349999999999999</v>
      </c>
      <c r="W704">
        <f>M704*0.5+G704*0.25+I704*0.25</f>
        <v>0.72899999999999987</v>
      </c>
    </row>
    <row r="705" spans="1:23" x14ac:dyDescent="0.2">
      <c r="A705">
        <v>0.32200000000000001</v>
      </c>
      <c r="B705">
        <v>7</v>
      </c>
      <c r="C705">
        <v>4</v>
      </c>
      <c r="D705">
        <v>0.16600000000000001</v>
      </c>
      <c r="E705">
        <v>-4.1639999999999997</v>
      </c>
      <c r="F705">
        <v>199480</v>
      </c>
      <c r="G705">
        <v>0.69799999999999995</v>
      </c>
      <c r="H705">
        <v>197</v>
      </c>
      <c r="I705">
        <v>0.74</v>
      </c>
      <c r="J705">
        <v>0.115</v>
      </c>
      <c r="K705" t="s">
        <v>1682</v>
      </c>
      <c r="L705">
        <v>41</v>
      </c>
      <c r="M705">
        <v>0.875</v>
      </c>
      <c r="N705">
        <v>129.98599999999999</v>
      </c>
      <c r="O705">
        <v>0</v>
      </c>
      <c r="P705">
        <v>1</v>
      </c>
      <c r="Q705">
        <v>1</v>
      </c>
      <c r="R705" t="s">
        <v>787</v>
      </c>
      <c r="S705" t="s">
        <v>1683</v>
      </c>
      <c r="T705">
        <f>I705*-0.5+M705*0.5</f>
        <v>6.7500000000000004E-2</v>
      </c>
      <c r="U705">
        <f>I705*0.7+M705*-0.25+D705*-0.25</f>
        <v>0.25775000000000003</v>
      </c>
      <c r="V705">
        <f>J705*0.5+I705*-0.5</f>
        <v>-0.3125</v>
      </c>
      <c r="W705">
        <f>M705*0.5+G705*0.25+I705*0.25</f>
        <v>0.79699999999999993</v>
      </c>
    </row>
    <row r="706" spans="1:23" x14ac:dyDescent="0.2">
      <c r="A706">
        <v>3.44E-2</v>
      </c>
      <c r="B706">
        <v>1</v>
      </c>
      <c r="C706">
        <v>4</v>
      </c>
      <c r="D706">
        <v>0.115</v>
      </c>
      <c r="E706">
        <v>-5.3529999999999998</v>
      </c>
      <c r="F706">
        <v>194453</v>
      </c>
      <c r="G706">
        <v>0.66700000000000004</v>
      </c>
      <c r="H706">
        <v>190</v>
      </c>
      <c r="I706">
        <v>0.47899999999999998</v>
      </c>
      <c r="J706">
        <v>0.40300000000000002</v>
      </c>
      <c r="K706" t="s">
        <v>2721</v>
      </c>
      <c r="L706">
        <v>57</v>
      </c>
      <c r="M706">
        <v>0.61299999999999999</v>
      </c>
      <c r="N706">
        <v>91.024000000000001</v>
      </c>
      <c r="O706">
        <v>0</v>
      </c>
      <c r="P706">
        <v>1</v>
      </c>
      <c r="Q706">
        <v>15</v>
      </c>
      <c r="R706" t="s">
        <v>2722</v>
      </c>
      <c r="S706" t="s">
        <v>1889</v>
      </c>
      <c r="T706">
        <f>I706*-0.5+M706*0.5</f>
        <v>6.7000000000000004E-2</v>
      </c>
      <c r="U706">
        <f>I706*0.7+M706*-0.25+D706*-0.25</f>
        <v>0.15329999999999999</v>
      </c>
      <c r="V706">
        <f>J706*0.5+I706*-0.5</f>
        <v>-3.7999999999999978E-2</v>
      </c>
      <c r="W706">
        <f>M706*0.5+G706*0.25+I706*0.25</f>
        <v>0.59299999999999997</v>
      </c>
    </row>
    <row r="707" spans="1:23" x14ac:dyDescent="0.2">
      <c r="A707">
        <v>2.81E-2</v>
      </c>
      <c r="B707">
        <v>0</v>
      </c>
      <c r="C707">
        <v>4</v>
      </c>
      <c r="D707">
        <v>0.184</v>
      </c>
      <c r="E707">
        <v>-6.734</v>
      </c>
      <c r="F707">
        <v>261320</v>
      </c>
      <c r="G707">
        <v>0.76400000000000001</v>
      </c>
      <c r="H707">
        <v>238</v>
      </c>
      <c r="I707">
        <v>0.35399999999999998</v>
      </c>
      <c r="J707">
        <v>0.25</v>
      </c>
      <c r="K707" t="s">
        <v>2549</v>
      </c>
      <c r="L707">
        <v>25</v>
      </c>
      <c r="M707">
        <v>0.48699999999999999</v>
      </c>
      <c r="N707">
        <v>116.027</v>
      </c>
      <c r="O707">
        <v>0</v>
      </c>
      <c r="P707">
        <v>1</v>
      </c>
      <c r="Q707">
        <v>19</v>
      </c>
      <c r="R707" t="s">
        <v>2550</v>
      </c>
      <c r="S707" t="s">
        <v>2551</v>
      </c>
      <c r="T707">
        <f>I707*-0.5+M707*0.5</f>
        <v>6.6500000000000004E-2</v>
      </c>
      <c r="U707">
        <f>I707*0.7+M707*-0.25+D707*-0.25</f>
        <v>8.0049999999999968E-2</v>
      </c>
      <c r="V707">
        <f>J707*0.5+I707*-0.5</f>
        <v>-5.1999999999999991E-2</v>
      </c>
      <c r="W707">
        <f>M707*0.5+G707*0.25+I707*0.25</f>
        <v>0.52300000000000002</v>
      </c>
    </row>
    <row r="708" spans="1:23" x14ac:dyDescent="0.2">
      <c r="A708">
        <v>4.2999999999999997E-2</v>
      </c>
      <c r="B708">
        <v>9</v>
      </c>
      <c r="C708">
        <v>4</v>
      </c>
      <c r="D708">
        <v>9.1700000000000004E-2</v>
      </c>
      <c r="E708">
        <v>-8.1709999999999994</v>
      </c>
      <c r="F708">
        <v>164267</v>
      </c>
      <c r="G708">
        <v>0.76100000000000001</v>
      </c>
      <c r="H708">
        <v>164</v>
      </c>
      <c r="I708">
        <v>0.60199999999999998</v>
      </c>
      <c r="J708">
        <v>4.2599999999999999E-2</v>
      </c>
      <c r="K708" t="s">
        <v>1699</v>
      </c>
      <c r="L708">
        <v>2</v>
      </c>
      <c r="M708">
        <v>0.73499999999999999</v>
      </c>
      <c r="N708">
        <v>125.815</v>
      </c>
      <c r="O708">
        <v>8.3799999999999999E-2</v>
      </c>
      <c r="P708">
        <v>0</v>
      </c>
      <c r="Q708">
        <v>9</v>
      </c>
      <c r="R708" t="s">
        <v>1700</v>
      </c>
      <c r="S708" t="s">
        <v>1701</v>
      </c>
      <c r="T708">
        <f>I708*-0.5+M708*0.5</f>
        <v>6.6500000000000004E-2</v>
      </c>
      <c r="U708">
        <f>I708*0.7+M708*-0.25+D708*-0.25</f>
        <v>0.21472499999999994</v>
      </c>
      <c r="V708">
        <f>J708*0.5+I708*-0.5</f>
        <v>-0.2797</v>
      </c>
      <c r="W708">
        <f>M708*0.5+G708*0.25+I708*0.25</f>
        <v>0.70824999999999994</v>
      </c>
    </row>
    <row r="709" spans="1:23" x14ac:dyDescent="0.2">
      <c r="A709">
        <v>3.3300000000000003E-2</v>
      </c>
      <c r="B709">
        <v>4</v>
      </c>
      <c r="C709">
        <v>4</v>
      </c>
      <c r="D709">
        <v>4.4900000000000002E-2</v>
      </c>
      <c r="E709">
        <v>-4.41</v>
      </c>
      <c r="F709">
        <v>239400</v>
      </c>
      <c r="G709">
        <v>0.65500000000000003</v>
      </c>
      <c r="H709">
        <v>237</v>
      </c>
      <c r="I709">
        <v>0.61399999999999999</v>
      </c>
      <c r="J709">
        <v>3.6900000000000002E-2</v>
      </c>
      <c r="K709" t="s">
        <v>1633</v>
      </c>
      <c r="L709">
        <v>18</v>
      </c>
      <c r="M709">
        <v>0.747</v>
      </c>
      <c r="N709">
        <v>118.054</v>
      </c>
      <c r="O709" s="1">
        <v>1.2899999999999999E-6</v>
      </c>
      <c r="P709">
        <v>1</v>
      </c>
      <c r="Q709">
        <v>20</v>
      </c>
      <c r="R709" t="s">
        <v>802</v>
      </c>
      <c r="S709" t="s">
        <v>1634</v>
      </c>
      <c r="T709">
        <f>I709*-0.5+M709*0.5</f>
        <v>6.6500000000000004E-2</v>
      </c>
      <c r="U709">
        <f>I709*0.7+M709*-0.25+D709*-0.25</f>
        <v>0.23182499999999995</v>
      </c>
      <c r="V709">
        <f>J709*0.5+I709*-0.5</f>
        <v>-0.28854999999999997</v>
      </c>
      <c r="W709">
        <f>M709*0.5+G709*0.25+I709*0.25</f>
        <v>0.69074999999999998</v>
      </c>
    </row>
    <row r="710" spans="1:23" x14ac:dyDescent="0.2">
      <c r="A710">
        <v>0.111</v>
      </c>
      <c r="B710">
        <v>9</v>
      </c>
      <c r="C710">
        <v>4</v>
      </c>
      <c r="D710">
        <v>7.0800000000000002E-2</v>
      </c>
      <c r="E710">
        <v>-4.5629999999999997</v>
      </c>
      <c r="F710">
        <v>171600</v>
      </c>
      <c r="G710">
        <v>0.41799999999999998</v>
      </c>
      <c r="H710">
        <v>169</v>
      </c>
      <c r="I710">
        <v>0.82599999999999996</v>
      </c>
      <c r="J710">
        <v>3.8900000000000002E-4</v>
      </c>
      <c r="K710" t="s">
        <v>1033</v>
      </c>
      <c r="L710">
        <v>8</v>
      </c>
      <c r="M710">
        <v>0.95899999999999996</v>
      </c>
      <c r="N710">
        <v>193.07400000000001</v>
      </c>
      <c r="O710">
        <v>0</v>
      </c>
      <c r="P710">
        <v>1</v>
      </c>
      <c r="Q710">
        <v>17</v>
      </c>
      <c r="R710" t="s">
        <v>292</v>
      </c>
      <c r="S710" t="s">
        <v>1034</v>
      </c>
      <c r="T710">
        <f>I710*-0.5+M710*0.5</f>
        <v>6.6500000000000004E-2</v>
      </c>
      <c r="U710">
        <f>I710*0.7+M710*-0.25+D710*-0.25</f>
        <v>0.32074999999999992</v>
      </c>
      <c r="V710">
        <f>J710*0.5+I710*-0.5</f>
        <v>-0.41280549999999999</v>
      </c>
      <c r="W710">
        <f>M710*0.5+G710*0.25+I710*0.25</f>
        <v>0.79049999999999998</v>
      </c>
    </row>
    <row r="711" spans="1:23" x14ac:dyDescent="0.2">
      <c r="A711">
        <v>2.5499999999999998E-2</v>
      </c>
      <c r="B711">
        <v>4</v>
      </c>
      <c r="C711">
        <v>4</v>
      </c>
      <c r="D711">
        <v>0.107</v>
      </c>
      <c r="E711">
        <v>-9.3789999999999996</v>
      </c>
      <c r="F711">
        <v>236000</v>
      </c>
      <c r="G711">
        <v>0.68700000000000006</v>
      </c>
      <c r="H711">
        <v>249</v>
      </c>
      <c r="I711">
        <v>0.32200000000000001</v>
      </c>
      <c r="J711">
        <v>0.61399999999999999</v>
      </c>
      <c r="K711" t="s">
        <v>3012</v>
      </c>
      <c r="L711">
        <v>19</v>
      </c>
      <c r="M711">
        <v>0.45400000000000001</v>
      </c>
      <c r="N711">
        <v>103.93</v>
      </c>
      <c r="O711">
        <v>1.07E-4</v>
      </c>
      <c r="P711">
        <v>1</v>
      </c>
      <c r="Q711">
        <v>14</v>
      </c>
      <c r="R711" t="s">
        <v>802</v>
      </c>
      <c r="S711" t="s">
        <v>3013</v>
      </c>
      <c r="T711">
        <f>I711*-0.5+M711*0.5</f>
        <v>6.6000000000000003E-2</v>
      </c>
      <c r="U711">
        <f>I711*0.7+M711*-0.25+D711*-0.25</f>
        <v>8.514999999999999E-2</v>
      </c>
      <c r="V711">
        <f>J711*0.5+I711*-0.5</f>
        <v>0.14599999999999999</v>
      </c>
      <c r="W711">
        <f>M711*0.5+G711*0.25+I711*0.25</f>
        <v>0.47925000000000006</v>
      </c>
    </row>
    <row r="712" spans="1:23" x14ac:dyDescent="0.2">
      <c r="A712">
        <v>2.64E-2</v>
      </c>
      <c r="B712">
        <v>0</v>
      </c>
      <c r="C712">
        <v>4</v>
      </c>
      <c r="D712">
        <v>0.34</v>
      </c>
      <c r="E712">
        <v>-6.2990000000000004</v>
      </c>
      <c r="F712">
        <v>289133</v>
      </c>
      <c r="G712">
        <v>0.74099999999999999</v>
      </c>
      <c r="H712">
        <v>243</v>
      </c>
      <c r="I712">
        <v>0.61599999999999999</v>
      </c>
      <c r="J712">
        <v>8.2299999999999998E-2</v>
      </c>
      <c r="K712" t="s">
        <v>1808</v>
      </c>
      <c r="L712">
        <v>32</v>
      </c>
      <c r="M712">
        <v>0.748</v>
      </c>
      <c r="N712">
        <v>127.965</v>
      </c>
      <c r="O712">
        <v>0</v>
      </c>
      <c r="P712">
        <v>1</v>
      </c>
      <c r="Q712">
        <v>1</v>
      </c>
      <c r="R712" t="s">
        <v>491</v>
      </c>
      <c r="S712" t="s">
        <v>1809</v>
      </c>
      <c r="T712">
        <f>I712*-0.5+M712*0.5</f>
        <v>6.6000000000000003E-2</v>
      </c>
      <c r="U712">
        <f>I712*0.7+M712*-0.25+D712*-0.25</f>
        <v>0.15919999999999995</v>
      </c>
      <c r="V712">
        <f>J712*0.5+I712*-0.5</f>
        <v>-0.26684999999999998</v>
      </c>
      <c r="W712">
        <f>M712*0.5+G712*0.25+I712*0.25</f>
        <v>0.71325000000000005</v>
      </c>
    </row>
    <row r="713" spans="1:23" x14ac:dyDescent="0.2">
      <c r="A713">
        <v>7.9399999999999998E-2</v>
      </c>
      <c r="B713">
        <v>7</v>
      </c>
      <c r="C713">
        <v>4</v>
      </c>
      <c r="D713">
        <v>0.16300000000000001</v>
      </c>
      <c r="E713">
        <v>-4.7409999999999997</v>
      </c>
      <c r="F713">
        <v>229093</v>
      </c>
      <c r="G713">
        <v>0.499</v>
      </c>
      <c r="H713">
        <v>226</v>
      </c>
      <c r="I713">
        <v>0.69199999999999995</v>
      </c>
      <c r="J713">
        <v>8.9800000000000001E-3</v>
      </c>
      <c r="K713" t="s">
        <v>1326</v>
      </c>
      <c r="L713">
        <v>20</v>
      </c>
      <c r="M713">
        <v>0.82399999999999995</v>
      </c>
      <c r="N713">
        <v>161.977</v>
      </c>
      <c r="O713">
        <v>0</v>
      </c>
      <c r="P713">
        <v>1</v>
      </c>
      <c r="Q713">
        <v>17</v>
      </c>
      <c r="R713" t="s">
        <v>222</v>
      </c>
      <c r="S713" t="s">
        <v>1327</v>
      </c>
      <c r="T713">
        <f>I713*-0.5+M713*0.5</f>
        <v>6.6000000000000003E-2</v>
      </c>
      <c r="U713">
        <f>I713*0.7+M713*-0.25+D713*-0.25</f>
        <v>0.23764999999999997</v>
      </c>
      <c r="V713">
        <f>J713*0.5+I713*-0.5</f>
        <v>-0.34150999999999998</v>
      </c>
      <c r="W713">
        <f>M713*0.5+G713*0.25+I713*0.25</f>
        <v>0.70974999999999988</v>
      </c>
    </row>
    <row r="714" spans="1:23" x14ac:dyDescent="0.2">
      <c r="A714">
        <v>0.17399999999999999</v>
      </c>
      <c r="B714">
        <v>9</v>
      </c>
      <c r="C714">
        <v>4</v>
      </c>
      <c r="D714">
        <v>0.28899999999999998</v>
      </c>
      <c r="E714">
        <v>-4.3220000000000001</v>
      </c>
      <c r="F714">
        <v>228200</v>
      </c>
      <c r="G714">
        <v>0.69099999999999995</v>
      </c>
      <c r="H714">
        <v>227</v>
      </c>
      <c r="I714">
        <v>0.71399999999999997</v>
      </c>
      <c r="J714">
        <v>6.7600000000000004E-3</v>
      </c>
      <c r="K714" t="s">
        <v>1286</v>
      </c>
      <c r="L714">
        <v>42</v>
      </c>
      <c r="M714">
        <v>0.84599999999999997</v>
      </c>
      <c r="N714">
        <v>127.011</v>
      </c>
      <c r="O714">
        <v>0</v>
      </c>
      <c r="P714">
        <v>0</v>
      </c>
      <c r="Q714">
        <v>8</v>
      </c>
      <c r="R714" t="s">
        <v>1287</v>
      </c>
      <c r="S714" t="s">
        <v>1288</v>
      </c>
      <c r="T714">
        <f>I714*-0.5+M714*0.5</f>
        <v>6.6000000000000003E-2</v>
      </c>
      <c r="U714">
        <f>I714*0.7+M714*-0.25+D714*-0.25</f>
        <v>0.21605000000000002</v>
      </c>
      <c r="V714">
        <f>J714*0.5+I714*-0.5</f>
        <v>-0.35361999999999999</v>
      </c>
      <c r="W714">
        <f>M714*0.5+G714*0.25+I714*0.25</f>
        <v>0.77424999999999999</v>
      </c>
    </row>
    <row r="715" spans="1:23" x14ac:dyDescent="0.2">
      <c r="A715">
        <v>5.1400000000000001E-2</v>
      </c>
      <c r="B715">
        <v>10</v>
      </c>
      <c r="C715">
        <v>4</v>
      </c>
      <c r="D715">
        <v>0.39100000000000001</v>
      </c>
      <c r="E715">
        <v>-5.8289999999999997</v>
      </c>
      <c r="F715">
        <v>237300</v>
      </c>
      <c r="G715">
        <v>0.76500000000000001</v>
      </c>
      <c r="H715">
        <v>236</v>
      </c>
      <c r="I715">
        <v>0.34300000000000003</v>
      </c>
      <c r="J715">
        <v>0.28699999999999998</v>
      </c>
      <c r="K715" t="s">
        <v>2655</v>
      </c>
      <c r="L715">
        <v>59</v>
      </c>
      <c r="M715">
        <v>0.47299999999999998</v>
      </c>
      <c r="N715">
        <v>119.992</v>
      </c>
      <c r="O715">
        <v>0</v>
      </c>
      <c r="P715">
        <v>1</v>
      </c>
      <c r="Q715">
        <v>16</v>
      </c>
      <c r="R715" t="s">
        <v>1271</v>
      </c>
      <c r="S715" t="s">
        <v>2656</v>
      </c>
      <c r="T715">
        <f>I715*-0.5+M715*0.5</f>
        <v>6.4999999999999974E-2</v>
      </c>
      <c r="U715">
        <f>I715*0.7+M715*-0.25+D715*-0.25</f>
        <v>2.410000000000001E-2</v>
      </c>
      <c r="V715">
        <f>J715*0.5+I715*-0.5</f>
        <v>-2.8000000000000025E-2</v>
      </c>
      <c r="W715">
        <f>M715*0.5+G715*0.25+I715*0.25</f>
        <v>0.51349999999999996</v>
      </c>
    </row>
    <row r="716" spans="1:23" x14ac:dyDescent="0.2">
      <c r="A716">
        <v>7.3400000000000007E-2</v>
      </c>
      <c r="B716">
        <v>5</v>
      </c>
      <c r="C716">
        <v>4</v>
      </c>
      <c r="D716">
        <v>6.5000000000000002E-2</v>
      </c>
      <c r="E716">
        <v>-4.0359999999999996</v>
      </c>
      <c r="F716">
        <v>190186</v>
      </c>
      <c r="G716">
        <v>0.65700000000000003</v>
      </c>
      <c r="H716">
        <v>187</v>
      </c>
      <c r="I716">
        <v>0.69799999999999995</v>
      </c>
      <c r="J716">
        <v>7.0399999999999998E-4</v>
      </c>
      <c r="K716" t="s">
        <v>1296</v>
      </c>
      <c r="L716">
        <v>54</v>
      </c>
      <c r="M716">
        <v>0.82699999999999996</v>
      </c>
      <c r="N716">
        <v>145.88900000000001</v>
      </c>
      <c r="O716">
        <v>5.3400000000000001E-3</v>
      </c>
      <c r="P716">
        <v>1</v>
      </c>
      <c r="Q716">
        <v>8</v>
      </c>
      <c r="R716" t="s">
        <v>1297</v>
      </c>
      <c r="S716" t="s">
        <v>1298</v>
      </c>
      <c r="T716">
        <f>I716*-0.5+M716*0.5</f>
        <v>6.4500000000000002E-2</v>
      </c>
      <c r="U716">
        <f>I716*0.7+M716*-0.25+D716*-0.25</f>
        <v>0.26559999999999995</v>
      </c>
      <c r="V716">
        <f>J716*0.5+I716*-0.5</f>
        <v>-0.34864799999999996</v>
      </c>
      <c r="W716">
        <f>M716*0.5+G716*0.25+I716*0.25</f>
        <v>0.75224999999999997</v>
      </c>
    </row>
    <row r="717" spans="1:23" x14ac:dyDescent="0.2">
      <c r="A717">
        <v>5.0599999999999999E-2</v>
      </c>
      <c r="B717">
        <v>7</v>
      </c>
      <c r="C717">
        <v>4</v>
      </c>
      <c r="D717">
        <v>6.9699999999999998E-2</v>
      </c>
      <c r="E717">
        <v>-7.1349999999999998</v>
      </c>
      <c r="F717">
        <v>256347</v>
      </c>
      <c r="G717">
        <v>0.8</v>
      </c>
      <c r="H717">
        <v>255</v>
      </c>
      <c r="I717">
        <v>0.36799999999999999</v>
      </c>
      <c r="J717">
        <v>2.9799999999999998E-4</v>
      </c>
      <c r="K717" t="s">
        <v>1950</v>
      </c>
      <c r="L717">
        <v>19</v>
      </c>
      <c r="M717">
        <v>0.496</v>
      </c>
      <c r="N717">
        <v>128.29</v>
      </c>
      <c r="O717">
        <v>0</v>
      </c>
      <c r="P717">
        <v>1</v>
      </c>
      <c r="Q717">
        <v>4</v>
      </c>
      <c r="R717" t="s">
        <v>1951</v>
      </c>
      <c r="S717" t="s">
        <v>1952</v>
      </c>
      <c r="T717">
        <f>I717*-0.5+M717*0.5</f>
        <v>6.4000000000000001E-2</v>
      </c>
      <c r="U717">
        <f>I717*0.7+M717*-0.25+D717*-0.25</f>
        <v>0.116175</v>
      </c>
      <c r="V717">
        <f>J717*0.5+I717*-0.5</f>
        <v>-0.18385099999999999</v>
      </c>
      <c r="W717">
        <f>M717*0.5+G717*0.25+I717*0.25</f>
        <v>0.54</v>
      </c>
    </row>
    <row r="718" spans="1:23" x14ac:dyDescent="0.2">
      <c r="A718">
        <v>3.8800000000000001E-2</v>
      </c>
      <c r="B718">
        <v>9</v>
      </c>
      <c r="C718">
        <v>4</v>
      </c>
      <c r="D718">
        <v>0.27500000000000002</v>
      </c>
      <c r="E718">
        <v>-6.3179999999999996</v>
      </c>
      <c r="F718">
        <v>214148</v>
      </c>
      <c r="G718">
        <v>0.68100000000000005</v>
      </c>
      <c r="H718">
        <v>212</v>
      </c>
      <c r="I718">
        <v>0.58699999999999997</v>
      </c>
      <c r="J718">
        <v>7.8E-2</v>
      </c>
      <c r="K718" t="s">
        <v>1854</v>
      </c>
      <c r="L718">
        <v>50</v>
      </c>
      <c r="M718">
        <v>0.71499999999999997</v>
      </c>
      <c r="N718">
        <v>127.429</v>
      </c>
      <c r="O718">
        <v>0</v>
      </c>
      <c r="P718">
        <v>1</v>
      </c>
      <c r="Q718">
        <v>5</v>
      </c>
      <c r="R718" t="s">
        <v>1855</v>
      </c>
      <c r="S718" t="s">
        <v>1856</v>
      </c>
      <c r="T718">
        <f>I718*-0.5+M718*0.5</f>
        <v>6.4000000000000001E-2</v>
      </c>
      <c r="U718">
        <f>I718*0.7+M718*-0.25+D718*-0.25</f>
        <v>0.16339999999999993</v>
      </c>
      <c r="V718">
        <f>J718*0.5+I718*-0.5</f>
        <v>-0.2545</v>
      </c>
      <c r="W718">
        <f>M718*0.5+G718*0.25+I718*0.25</f>
        <v>0.67449999999999988</v>
      </c>
    </row>
    <row r="719" spans="1:23" x14ac:dyDescent="0.2">
      <c r="A719">
        <v>0.13600000000000001</v>
      </c>
      <c r="B719">
        <v>4</v>
      </c>
      <c r="C719">
        <v>4</v>
      </c>
      <c r="D719">
        <v>0.39100000000000001</v>
      </c>
      <c r="E719">
        <v>-3.3250000000000002</v>
      </c>
      <c r="F719">
        <v>227427</v>
      </c>
      <c r="G719">
        <v>0.57999999999999996</v>
      </c>
      <c r="H719">
        <v>224</v>
      </c>
      <c r="I719">
        <v>0.79900000000000004</v>
      </c>
      <c r="J719">
        <v>0.14299999999999999</v>
      </c>
      <c r="K719" t="s">
        <v>1723</v>
      </c>
      <c r="L719">
        <v>8</v>
      </c>
      <c r="M719">
        <v>0.92700000000000005</v>
      </c>
      <c r="N719">
        <v>188.001</v>
      </c>
      <c r="O719">
        <v>0</v>
      </c>
      <c r="P719">
        <v>0</v>
      </c>
      <c r="Q719">
        <v>7</v>
      </c>
      <c r="R719" t="s">
        <v>1715</v>
      </c>
      <c r="S719" t="s">
        <v>1724</v>
      </c>
      <c r="T719">
        <f>I719*-0.5+M719*0.5</f>
        <v>6.4000000000000001E-2</v>
      </c>
      <c r="U719">
        <f>I719*0.7+M719*-0.25+D719*-0.25</f>
        <v>0.2298</v>
      </c>
      <c r="V719">
        <f>J719*0.5+I719*-0.5</f>
        <v>-0.32800000000000001</v>
      </c>
      <c r="W719">
        <f>M719*0.5+G719*0.25+I719*0.25</f>
        <v>0.80825000000000002</v>
      </c>
    </row>
    <row r="720" spans="1:23" x14ac:dyDescent="0.2">
      <c r="A720">
        <v>3.2899999999999999E-2</v>
      </c>
      <c r="B720">
        <v>2</v>
      </c>
      <c r="C720">
        <v>4</v>
      </c>
      <c r="D720">
        <v>0.128</v>
      </c>
      <c r="E720">
        <v>-6.2789999999999999</v>
      </c>
      <c r="F720">
        <v>284760</v>
      </c>
      <c r="G720">
        <v>0.55000000000000004</v>
      </c>
      <c r="H720">
        <v>283</v>
      </c>
      <c r="I720">
        <v>0.45900000000000002</v>
      </c>
      <c r="J720">
        <v>0.35399999999999998</v>
      </c>
      <c r="K720" t="s">
        <v>2674</v>
      </c>
      <c r="L720">
        <v>7</v>
      </c>
      <c r="M720">
        <v>0.58699999999999997</v>
      </c>
      <c r="N720">
        <v>165.97499999999999</v>
      </c>
      <c r="O720">
        <v>0</v>
      </c>
      <c r="P720">
        <v>1</v>
      </c>
      <c r="Q720">
        <v>14</v>
      </c>
      <c r="R720" t="s">
        <v>1590</v>
      </c>
      <c r="S720" t="s">
        <v>2675</v>
      </c>
      <c r="T720">
        <f>I720*-0.5+M720*0.5</f>
        <v>6.3999999999999974E-2</v>
      </c>
      <c r="U720">
        <f>I720*0.7+M720*-0.25+D720*-0.25</f>
        <v>0.14254999999999998</v>
      </c>
      <c r="V720">
        <f>J720*0.5+I720*-0.5</f>
        <v>-5.2500000000000019E-2</v>
      </c>
      <c r="W720">
        <f>M720*0.5+G720*0.25+I720*0.25</f>
        <v>0.54574999999999996</v>
      </c>
    </row>
    <row r="721" spans="1:23" x14ac:dyDescent="0.2">
      <c r="A721">
        <v>3.85E-2</v>
      </c>
      <c r="B721">
        <v>4</v>
      </c>
      <c r="C721">
        <v>4</v>
      </c>
      <c r="D721">
        <v>0.121</v>
      </c>
      <c r="E721">
        <v>-5.1310000000000002</v>
      </c>
      <c r="F721">
        <v>210720</v>
      </c>
      <c r="G721">
        <v>0.48099999999999998</v>
      </c>
      <c r="H721">
        <v>219</v>
      </c>
      <c r="I721">
        <v>0.72199999999999998</v>
      </c>
      <c r="J721">
        <v>1.67E-3</v>
      </c>
      <c r="K721" t="s">
        <v>1280</v>
      </c>
      <c r="L721">
        <v>39</v>
      </c>
      <c r="M721">
        <v>0.84899999999999998</v>
      </c>
      <c r="N721">
        <v>205.57</v>
      </c>
      <c r="O721" s="1">
        <v>1.4899999999999999E-6</v>
      </c>
      <c r="P721">
        <v>1</v>
      </c>
      <c r="Q721">
        <v>16</v>
      </c>
      <c r="R721" t="s">
        <v>1281</v>
      </c>
      <c r="S721" t="s">
        <v>1282</v>
      </c>
      <c r="T721">
        <f>I721*-0.5+M721*0.5</f>
        <v>6.3500000000000001E-2</v>
      </c>
      <c r="U721">
        <f>I721*0.7+M721*-0.25+D721*-0.25</f>
        <v>0.26289999999999997</v>
      </c>
      <c r="V721">
        <f>J721*0.5+I721*-0.5</f>
        <v>-0.36016500000000001</v>
      </c>
      <c r="W721">
        <f>M721*0.5+G721*0.25+I721*0.25</f>
        <v>0.72524999999999995</v>
      </c>
    </row>
    <row r="722" spans="1:23" x14ac:dyDescent="0.2">
      <c r="A722">
        <v>0.11899999999999999</v>
      </c>
      <c r="B722">
        <v>9</v>
      </c>
      <c r="C722">
        <v>4</v>
      </c>
      <c r="D722">
        <v>0.216</v>
      </c>
      <c r="E722">
        <v>-5.59</v>
      </c>
      <c r="F722">
        <v>284187</v>
      </c>
      <c r="G722">
        <v>0.622</v>
      </c>
      <c r="H722">
        <v>232</v>
      </c>
      <c r="I722">
        <v>0.75600000000000001</v>
      </c>
      <c r="J722">
        <v>9.1200000000000003E-2</v>
      </c>
      <c r="K722" t="s">
        <v>1602</v>
      </c>
      <c r="L722">
        <v>30</v>
      </c>
      <c r="M722">
        <v>0.88200000000000001</v>
      </c>
      <c r="N722">
        <v>77.506</v>
      </c>
      <c r="O722">
        <v>0</v>
      </c>
      <c r="P722">
        <v>0</v>
      </c>
      <c r="Q722">
        <v>7</v>
      </c>
      <c r="R722" t="s">
        <v>1603</v>
      </c>
      <c r="S722" t="s">
        <v>1604</v>
      </c>
      <c r="T722">
        <f>I722*-0.5+M722*0.5</f>
        <v>6.3E-2</v>
      </c>
      <c r="U722">
        <f>I722*0.7+M722*-0.25+D722*-0.25</f>
        <v>0.25469999999999998</v>
      </c>
      <c r="V722">
        <f>J722*0.5+I722*-0.5</f>
        <v>-0.33240000000000003</v>
      </c>
      <c r="W722">
        <f>M722*0.5+G722*0.25+I722*0.25</f>
        <v>0.78550000000000009</v>
      </c>
    </row>
    <row r="723" spans="1:23" x14ac:dyDescent="0.2">
      <c r="A723">
        <v>3.5299999999999998E-2</v>
      </c>
      <c r="B723">
        <v>8</v>
      </c>
      <c r="C723">
        <v>4</v>
      </c>
      <c r="D723">
        <v>0.115</v>
      </c>
      <c r="E723">
        <v>-7.7469999999999999</v>
      </c>
      <c r="F723">
        <v>226600</v>
      </c>
      <c r="G723">
        <v>0.67200000000000004</v>
      </c>
      <c r="H723">
        <v>224</v>
      </c>
      <c r="I723">
        <v>0.39600000000000002</v>
      </c>
      <c r="J723">
        <v>0.85899999999999999</v>
      </c>
      <c r="K723" t="s">
        <v>3094</v>
      </c>
      <c r="L723">
        <v>54</v>
      </c>
      <c r="M723">
        <v>0.52</v>
      </c>
      <c r="N723">
        <v>120.001</v>
      </c>
      <c r="O723">
        <v>0</v>
      </c>
      <c r="P723">
        <v>1</v>
      </c>
      <c r="Q723">
        <v>14</v>
      </c>
      <c r="R723" t="s">
        <v>1111</v>
      </c>
      <c r="S723" t="s">
        <v>3095</v>
      </c>
      <c r="T723">
        <f>I723*-0.5+M723*0.5</f>
        <v>6.2E-2</v>
      </c>
      <c r="U723">
        <f>I723*0.7+M723*-0.25+D723*-0.25</f>
        <v>0.11845</v>
      </c>
      <c r="V723">
        <f>J723*0.5+I723*-0.5</f>
        <v>0.23149999999999998</v>
      </c>
      <c r="W723">
        <f>M723*0.5+G723*0.25+I723*0.25</f>
        <v>0.52700000000000002</v>
      </c>
    </row>
    <row r="724" spans="1:23" x14ac:dyDescent="0.2">
      <c r="A724">
        <v>2.8000000000000001E-2</v>
      </c>
      <c r="B724">
        <v>2</v>
      </c>
      <c r="C724">
        <v>4</v>
      </c>
      <c r="D724">
        <v>0.128</v>
      </c>
      <c r="E724">
        <v>-3.6760000000000002</v>
      </c>
      <c r="F724">
        <v>208135</v>
      </c>
      <c r="G724">
        <v>0.60599999999999998</v>
      </c>
      <c r="H724">
        <v>206</v>
      </c>
      <c r="I724">
        <v>0.48799999999999999</v>
      </c>
      <c r="J724">
        <v>0.21099999999999999</v>
      </c>
      <c r="K724" t="s">
        <v>2353</v>
      </c>
      <c r="L724">
        <v>40</v>
      </c>
      <c r="M724">
        <v>0.61199999999999999</v>
      </c>
      <c r="N724">
        <v>127.88200000000001</v>
      </c>
      <c r="O724" s="1">
        <v>3.7000000000000002E-6</v>
      </c>
      <c r="P724">
        <v>1</v>
      </c>
      <c r="Q724">
        <v>3</v>
      </c>
      <c r="R724" t="s">
        <v>2354</v>
      </c>
      <c r="S724" t="s">
        <v>2355</v>
      </c>
      <c r="T724">
        <f>I724*-0.5+M724*0.5</f>
        <v>6.2E-2</v>
      </c>
      <c r="U724">
        <f>I724*0.7+M724*-0.25+D724*-0.25</f>
        <v>0.15659999999999996</v>
      </c>
      <c r="V724">
        <f>J724*0.5+I724*-0.5</f>
        <v>-0.13850000000000001</v>
      </c>
      <c r="W724">
        <f>M724*0.5+G724*0.25+I724*0.25</f>
        <v>0.57950000000000002</v>
      </c>
    </row>
    <row r="725" spans="1:23" x14ac:dyDescent="0.2">
      <c r="A725">
        <v>7.2700000000000001E-2</v>
      </c>
      <c r="B725">
        <v>1</v>
      </c>
      <c r="C725">
        <v>4</v>
      </c>
      <c r="D725">
        <v>0.14499999999999999</v>
      </c>
      <c r="E725">
        <v>-6.6020000000000003</v>
      </c>
      <c r="F725">
        <v>261027</v>
      </c>
      <c r="G725">
        <v>0.80100000000000005</v>
      </c>
      <c r="H725">
        <v>260</v>
      </c>
      <c r="I725">
        <v>0.80800000000000005</v>
      </c>
      <c r="J725">
        <v>0.128</v>
      </c>
      <c r="K725" t="s">
        <v>1670</v>
      </c>
      <c r="L725">
        <v>9</v>
      </c>
      <c r="M725">
        <v>0.93100000000000005</v>
      </c>
      <c r="N725">
        <v>105.526</v>
      </c>
      <c r="O725">
        <v>0</v>
      </c>
      <c r="P725">
        <v>1</v>
      </c>
      <c r="Q725">
        <v>8</v>
      </c>
      <c r="R725" t="s">
        <v>1671</v>
      </c>
      <c r="S725" t="s">
        <v>1672</v>
      </c>
      <c r="T725">
        <f>I725*-0.5+M725*0.5</f>
        <v>6.1499999999999999E-2</v>
      </c>
      <c r="U725">
        <f>I725*0.7+M725*-0.25+D725*-0.25</f>
        <v>0.29659999999999997</v>
      </c>
      <c r="V725">
        <f>J725*0.5+I725*-0.5</f>
        <v>-0.34</v>
      </c>
      <c r="W725">
        <f>M725*0.5+G725*0.25+I725*0.25</f>
        <v>0.86775000000000002</v>
      </c>
    </row>
    <row r="726" spans="1:23" x14ac:dyDescent="0.2">
      <c r="A726">
        <v>0.108</v>
      </c>
      <c r="B726">
        <v>4</v>
      </c>
      <c r="C726">
        <v>4</v>
      </c>
      <c r="D726">
        <v>0.374</v>
      </c>
      <c r="E726">
        <v>-4.2510000000000003</v>
      </c>
      <c r="F726">
        <v>228240</v>
      </c>
      <c r="G726">
        <v>0.64800000000000002</v>
      </c>
      <c r="H726">
        <v>224</v>
      </c>
      <c r="I726">
        <v>0.78600000000000003</v>
      </c>
      <c r="J726">
        <v>1.1299999999999999E-2</v>
      </c>
      <c r="K726" t="s">
        <v>1212</v>
      </c>
      <c r="L726">
        <v>36</v>
      </c>
      <c r="M726">
        <v>0.90800000000000003</v>
      </c>
      <c r="N726">
        <v>131.14699999999999</v>
      </c>
      <c r="O726">
        <v>0</v>
      </c>
      <c r="P726">
        <v>0</v>
      </c>
      <c r="Q726">
        <v>4</v>
      </c>
      <c r="R726" t="s">
        <v>1213</v>
      </c>
      <c r="S726" t="s">
        <v>1214</v>
      </c>
      <c r="T726">
        <f>I726*-0.5+M726*0.5</f>
        <v>6.0999999999999999E-2</v>
      </c>
      <c r="U726">
        <f>I726*0.7+M726*-0.25+D726*-0.25</f>
        <v>0.22970000000000004</v>
      </c>
      <c r="V726">
        <f>J726*0.5+I726*-0.5</f>
        <v>-0.38735000000000003</v>
      </c>
      <c r="W726">
        <f>M726*0.5+G726*0.25+I726*0.25</f>
        <v>0.8125</v>
      </c>
    </row>
    <row r="727" spans="1:23" x14ac:dyDescent="0.2">
      <c r="A727">
        <v>9.0700000000000003E-2</v>
      </c>
      <c r="B727">
        <v>6</v>
      </c>
      <c r="C727">
        <v>4</v>
      </c>
      <c r="D727">
        <v>7.0499999999999993E-2</v>
      </c>
      <c r="E727">
        <v>-7.4420000000000002</v>
      </c>
      <c r="F727">
        <v>227880</v>
      </c>
      <c r="G727">
        <v>0.77200000000000002</v>
      </c>
      <c r="H727">
        <v>225</v>
      </c>
      <c r="I727">
        <v>0.28699999999999998</v>
      </c>
      <c r="J727">
        <v>3.49E-3</v>
      </c>
      <c r="K727" t="s">
        <v>2107</v>
      </c>
      <c r="L727">
        <v>49</v>
      </c>
      <c r="M727">
        <v>0.40699999999999997</v>
      </c>
      <c r="N727">
        <v>100.006</v>
      </c>
      <c r="O727" s="1">
        <v>2.4000000000000001E-5</v>
      </c>
      <c r="P727">
        <v>0</v>
      </c>
      <c r="Q727">
        <v>9</v>
      </c>
      <c r="R727" t="s">
        <v>2108</v>
      </c>
      <c r="S727" t="s">
        <v>2109</v>
      </c>
      <c r="T727">
        <f>I727*-0.5+M727*0.5</f>
        <v>0.06</v>
      </c>
      <c r="U727">
        <f>I727*0.7+M727*-0.25+D727*-0.25</f>
        <v>8.1524999999999972E-2</v>
      </c>
      <c r="V727">
        <f>J727*0.5+I727*-0.5</f>
        <v>-0.14175499999999999</v>
      </c>
      <c r="W727">
        <f>M727*0.5+G727*0.25+I727*0.25</f>
        <v>0.46824999999999994</v>
      </c>
    </row>
    <row r="728" spans="1:23" x14ac:dyDescent="0.2">
      <c r="A728">
        <v>3.1600000000000003E-2</v>
      </c>
      <c r="B728">
        <v>1</v>
      </c>
      <c r="C728">
        <v>4</v>
      </c>
      <c r="D728">
        <v>5.5199999999999999E-2</v>
      </c>
      <c r="E728">
        <v>-5.8849999999999998</v>
      </c>
      <c r="F728">
        <v>242760</v>
      </c>
      <c r="G728">
        <v>0.627</v>
      </c>
      <c r="H728">
        <v>238</v>
      </c>
      <c r="I728">
        <v>0.72099999999999997</v>
      </c>
      <c r="J728">
        <v>7.8799999999999999E-3</v>
      </c>
      <c r="K728" t="s">
        <v>1338</v>
      </c>
      <c r="L728">
        <v>25</v>
      </c>
      <c r="M728">
        <v>0.84099999999999997</v>
      </c>
      <c r="N728">
        <v>105.995</v>
      </c>
      <c r="O728" s="1">
        <v>1.4699999999999999E-6</v>
      </c>
      <c r="P728">
        <v>0</v>
      </c>
      <c r="Q728">
        <v>17</v>
      </c>
      <c r="R728" t="s">
        <v>802</v>
      </c>
      <c r="S728" t="s">
        <v>1339</v>
      </c>
      <c r="T728">
        <f>I728*-0.5+M728*0.5</f>
        <v>0.06</v>
      </c>
      <c r="U728">
        <f>I728*0.7+M728*-0.25+D728*-0.25</f>
        <v>0.28064999999999996</v>
      </c>
      <c r="V728">
        <f>J728*0.5+I728*-0.5</f>
        <v>-0.35655999999999999</v>
      </c>
      <c r="W728">
        <f>M728*0.5+G728*0.25+I728*0.25</f>
        <v>0.75750000000000006</v>
      </c>
    </row>
    <row r="729" spans="1:23" x14ac:dyDescent="0.2">
      <c r="A729">
        <v>0.13300000000000001</v>
      </c>
      <c r="B729">
        <v>7</v>
      </c>
      <c r="C729">
        <v>4</v>
      </c>
      <c r="D729">
        <v>0.13200000000000001</v>
      </c>
      <c r="E729">
        <v>-9.5459999999999994</v>
      </c>
      <c r="F729">
        <v>190185</v>
      </c>
      <c r="G729">
        <v>0.61599999999999999</v>
      </c>
      <c r="H729">
        <v>188</v>
      </c>
      <c r="I729">
        <v>0.313</v>
      </c>
      <c r="J729">
        <v>0.106</v>
      </c>
      <c r="K729" t="s">
        <v>2345</v>
      </c>
      <c r="L729">
        <v>49</v>
      </c>
      <c r="M729">
        <v>0.432</v>
      </c>
      <c r="N729">
        <v>84.778000000000006</v>
      </c>
      <c r="O729">
        <v>0</v>
      </c>
      <c r="P729">
        <v>1</v>
      </c>
      <c r="Q729">
        <v>2</v>
      </c>
      <c r="R729" t="s">
        <v>2201</v>
      </c>
      <c r="S729" t="s">
        <v>2346</v>
      </c>
      <c r="T729">
        <f>I729*-0.5+M729*0.5</f>
        <v>5.9499999999999997E-2</v>
      </c>
      <c r="U729">
        <f>I729*0.7+M729*-0.25+D729*-0.25</f>
        <v>7.8099999999999989E-2</v>
      </c>
      <c r="V729">
        <f>J729*0.5+I729*-0.5</f>
        <v>-0.10350000000000001</v>
      </c>
      <c r="W729">
        <f>M729*0.5+G729*0.25+I729*0.25</f>
        <v>0.44824999999999998</v>
      </c>
    </row>
    <row r="730" spans="1:23" x14ac:dyDescent="0.2">
      <c r="A730">
        <v>6.5600000000000006E-2</v>
      </c>
      <c r="B730">
        <v>1</v>
      </c>
      <c r="C730">
        <v>5</v>
      </c>
      <c r="D730">
        <v>4.9099999999999998E-2</v>
      </c>
      <c r="E730">
        <v>-5.6959999999999997</v>
      </c>
      <c r="F730">
        <v>227280</v>
      </c>
      <c r="G730">
        <v>0.50800000000000001</v>
      </c>
      <c r="H730">
        <v>225</v>
      </c>
      <c r="I730">
        <v>0.55800000000000005</v>
      </c>
      <c r="J730">
        <v>0.32800000000000001</v>
      </c>
      <c r="K730" t="s">
        <v>2539</v>
      </c>
      <c r="L730">
        <v>56</v>
      </c>
      <c r="M730">
        <v>0.67700000000000005</v>
      </c>
      <c r="N730">
        <v>121.928</v>
      </c>
      <c r="O730">
        <v>0</v>
      </c>
      <c r="P730">
        <v>1</v>
      </c>
      <c r="Q730">
        <v>3</v>
      </c>
      <c r="R730" t="s">
        <v>2540</v>
      </c>
      <c r="S730" t="s">
        <v>2541</v>
      </c>
      <c r="T730">
        <f>I730*-0.5+M730*0.5</f>
        <v>5.9499999999999997E-2</v>
      </c>
      <c r="U730">
        <f>I730*0.7+M730*-0.25+D730*-0.25</f>
        <v>0.20907499999999998</v>
      </c>
      <c r="V730">
        <f>J730*0.5+I730*-0.5</f>
        <v>-0.11500000000000002</v>
      </c>
      <c r="W730">
        <f>M730*0.5+G730*0.25+I730*0.25</f>
        <v>0.60499999999999998</v>
      </c>
    </row>
    <row r="731" spans="1:23" x14ac:dyDescent="0.2">
      <c r="A731">
        <v>4.9299999999999997E-2</v>
      </c>
      <c r="B731">
        <v>10</v>
      </c>
      <c r="C731">
        <v>4</v>
      </c>
      <c r="D731">
        <v>8.6199999999999999E-2</v>
      </c>
      <c r="E731">
        <v>-5.8140000000000001</v>
      </c>
      <c r="F731">
        <v>268320</v>
      </c>
      <c r="G731">
        <v>0.68799999999999994</v>
      </c>
      <c r="H731">
        <v>217</v>
      </c>
      <c r="I731">
        <v>0.73399999999999999</v>
      </c>
      <c r="J731">
        <v>0.38600000000000001</v>
      </c>
      <c r="K731" t="s">
        <v>2479</v>
      </c>
      <c r="L731">
        <v>34</v>
      </c>
      <c r="M731">
        <v>0.85299999999999998</v>
      </c>
      <c r="N731">
        <v>103.99299999999999</v>
      </c>
      <c r="O731">
        <v>0</v>
      </c>
      <c r="P731">
        <v>1</v>
      </c>
      <c r="Q731">
        <v>2</v>
      </c>
      <c r="R731" t="s">
        <v>2480</v>
      </c>
      <c r="S731" t="s">
        <v>2481</v>
      </c>
      <c r="T731">
        <f>I731*-0.5+M731*0.5</f>
        <v>5.9499999999999997E-2</v>
      </c>
      <c r="U731">
        <f>I731*0.7+M731*-0.25+D731*-0.25</f>
        <v>0.27899999999999991</v>
      </c>
      <c r="V731">
        <f>J731*0.5+I731*-0.5</f>
        <v>-0.17399999999999999</v>
      </c>
      <c r="W731">
        <f>M731*0.5+G731*0.25+I731*0.25</f>
        <v>0.78200000000000003</v>
      </c>
    </row>
    <row r="732" spans="1:23" x14ac:dyDescent="0.2">
      <c r="A732">
        <v>0.434</v>
      </c>
      <c r="B732">
        <v>5</v>
      </c>
      <c r="C732">
        <v>5</v>
      </c>
      <c r="D732">
        <v>0.33200000000000002</v>
      </c>
      <c r="E732">
        <v>-5.9059999999999997</v>
      </c>
      <c r="F732">
        <v>273133</v>
      </c>
      <c r="G732">
        <v>0.56499999999999995</v>
      </c>
      <c r="H732">
        <v>269</v>
      </c>
      <c r="I732">
        <v>0.754</v>
      </c>
      <c r="J732">
        <v>0.107</v>
      </c>
      <c r="K732" t="s">
        <v>1725</v>
      </c>
      <c r="L732">
        <v>24</v>
      </c>
      <c r="M732">
        <v>0.873</v>
      </c>
      <c r="N732">
        <v>130.422</v>
      </c>
      <c r="O732">
        <v>0</v>
      </c>
      <c r="P732">
        <v>0</v>
      </c>
      <c r="Q732">
        <v>8</v>
      </c>
      <c r="R732" t="s">
        <v>1726</v>
      </c>
      <c r="S732" t="s">
        <v>1727</v>
      </c>
      <c r="T732">
        <f>I732*-0.5+M732*0.5</f>
        <v>5.9499999999999997E-2</v>
      </c>
      <c r="U732">
        <f>I732*0.7+M732*-0.25+D732*-0.25</f>
        <v>0.22654999999999992</v>
      </c>
      <c r="V732">
        <f>J732*0.5+I732*-0.5</f>
        <v>-0.32350000000000001</v>
      </c>
      <c r="W732">
        <f>M732*0.5+G732*0.25+I732*0.25</f>
        <v>0.76624999999999999</v>
      </c>
    </row>
    <row r="733" spans="1:23" x14ac:dyDescent="0.2">
      <c r="A733">
        <v>7.1499999999999994E-2</v>
      </c>
      <c r="B733">
        <v>6</v>
      </c>
      <c r="C733">
        <v>4</v>
      </c>
      <c r="D733">
        <v>5.1400000000000001E-2</v>
      </c>
      <c r="E733">
        <v>-5.5330000000000004</v>
      </c>
      <c r="F733">
        <v>267080</v>
      </c>
      <c r="G733">
        <v>0.85299999999999998</v>
      </c>
      <c r="H733">
        <v>263</v>
      </c>
      <c r="I733">
        <v>0.55800000000000005</v>
      </c>
      <c r="J733">
        <v>4.4600000000000001E-2</v>
      </c>
      <c r="K733" t="s">
        <v>1843</v>
      </c>
      <c r="L733">
        <v>27</v>
      </c>
      <c r="M733">
        <v>0.67600000000000005</v>
      </c>
      <c r="N733">
        <v>122.65</v>
      </c>
      <c r="O733" s="1">
        <v>3.3699999999999999E-5</v>
      </c>
      <c r="P733">
        <v>0</v>
      </c>
      <c r="Q733">
        <v>1</v>
      </c>
      <c r="R733" t="s">
        <v>638</v>
      </c>
      <c r="S733" t="s">
        <v>1844</v>
      </c>
      <c r="T733">
        <f>I733*-0.5+M733*0.5</f>
        <v>5.8999999999999997E-2</v>
      </c>
      <c r="U733">
        <f>I733*0.7+M733*-0.25+D733*-0.25</f>
        <v>0.20874999999999999</v>
      </c>
      <c r="V733">
        <f>J733*0.5+I733*-0.5</f>
        <v>-0.25670000000000004</v>
      </c>
      <c r="W733">
        <f>M733*0.5+G733*0.25+I733*0.25</f>
        <v>0.69074999999999998</v>
      </c>
    </row>
    <row r="734" spans="1:23" x14ac:dyDescent="0.2">
      <c r="A734">
        <v>6.8199999999999997E-2</v>
      </c>
      <c r="B734">
        <v>0</v>
      </c>
      <c r="C734">
        <v>4</v>
      </c>
      <c r="D734">
        <v>9.6799999999999997E-2</v>
      </c>
      <c r="E734">
        <v>-5.72</v>
      </c>
      <c r="F734">
        <v>237547</v>
      </c>
      <c r="G734">
        <v>0.66900000000000004</v>
      </c>
      <c r="H734">
        <v>233</v>
      </c>
      <c r="I734">
        <v>0.71399999999999997</v>
      </c>
      <c r="J734">
        <v>1.06E-2</v>
      </c>
      <c r="K734" t="s">
        <v>1403</v>
      </c>
      <c r="L734">
        <v>59</v>
      </c>
      <c r="M734">
        <v>0.83199999999999996</v>
      </c>
      <c r="N734">
        <v>113.035</v>
      </c>
      <c r="O734">
        <v>0</v>
      </c>
      <c r="P734">
        <v>1</v>
      </c>
      <c r="Q734">
        <v>1</v>
      </c>
      <c r="R734" t="s">
        <v>998</v>
      </c>
      <c r="S734" t="s">
        <v>1404</v>
      </c>
      <c r="T734">
        <f>I734*-0.5+M734*0.5</f>
        <v>5.8999999999999997E-2</v>
      </c>
      <c r="U734">
        <f>I734*0.7+M734*-0.25+D734*-0.25</f>
        <v>0.26759999999999995</v>
      </c>
      <c r="V734">
        <f>J734*0.5+I734*-0.5</f>
        <v>-0.35169999999999996</v>
      </c>
      <c r="W734">
        <f>M734*0.5+G734*0.25+I734*0.25</f>
        <v>0.76175000000000004</v>
      </c>
    </row>
    <row r="735" spans="1:23" x14ac:dyDescent="0.2">
      <c r="A735">
        <v>4.7100000000000003E-2</v>
      </c>
      <c r="B735">
        <v>6</v>
      </c>
      <c r="C735">
        <v>4</v>
      </c>
      <c r="D735">
        <v>0.19600000000000001</v>
      </c>
      <c r="E735">
        <v>-5.3019999999999996</v>
      </c>
      <c r="F735">
        <v>247573</v>
      </c>
      <c r="G735">
        <v>0.54500000000000004</v>
      </c>
      <c r="H735">
        <v>246</v>
      </c>
      <c r="I735">
        <v>0.78400000000000003</v>
      </c>
      <c r="J735">
        <v>5.5599999999999997E-2</v>
      </c>
      <c r="K735" t="s">
        <v>1437</v>
      </c>
      <c r="L735">
        <v>2</v>
      </c>
      <c r="M735">
        <v>0.90200000000000002</v>
      </c>
      <c r="N735">
        <v>91.251000000000005</v>
      </c>
      <c r="O735">
        <v>0</v>
      </c>
      <c r="P735">
        <v>1</v>
      </c>
      <c r="Q735">
        <v>3</v>
      </c>
      <c r="R735" t="s">
        <v>480</v>
      </c>
      <c r="S735" t="s">
        <v>1438</v>
      </c>
      <c r="T735">
        <f>I735*-0.5+M735*0.5</f>
        <v>5.8999999999999997E-2</v>
      </c>
      <c r="U735">
        <f>I735*0.7+M735*-0.25+D735*-0.25</f>
        <v>0.27429999999999993</v>
      </c>
      <c r="V735">
        <f>J735*0.5+I735*-0.5</f>
        <v>-0.36420000000000002</v>
      </c>
      <c r="W735">
        <f>M735*0.5+G735*0.25+I735*0.25</f>
        <v>0.78325</v>
      </c>
    </row>
    <row r="736" spans="1:23" x14ac:dyDescent="0.2">
      <c r="A736">
        <v>0.189</v>
      </c>
      <c r="B736">
        <v>11</v>
      </c>
      <c r="C736">
        <v>4</v>
      </c>
      <c r="D736">
        <v>0.18</v>
      </c>
      <c r="E736">
        <v>-5.7450000000000001</v>
      </c>
      <c r="F736">
        <v>223933</v>
      </c>
      <c r="G736">
        <v>0.76400000000000001</v>
      </c>
      <c r="H736">
        <v>222</v>
      </c>
      <c r="I736">
        <v>0.57699999999999996</v>
      </c>
      <c r="J736">
        <v>4.3900000000000002E-2</v>
      </c>
      <c r="K736" t="s">
        <v>1813</v>
      </c>
      <c r="L736">
        <v>38</v>
      </c>
      <c r="M736">
        <v>0.69399999999999995</v>
      </c>
      <c r="N736">
        <v>146.07499999999999</v>
      </c>
      <c r="O736" s="1">
        <v>3.67E-6</v>
      </c>
      <c r="P736">
        <v>0</v>
      </c>
      <c r="Q736">
        <v>10</v>
      </c>
      <c r="R736" t="s">
        <v>1814</v>
      </c>
      <c r="S736" t="s">
        <v>1815</v>
      </c>
      <c r="T736">
        <f>I736*-0.5+M736*0.5</f>
        <v>5.8499999999999996E-2</v>
      </c>
      <c r="U736">
        <f>I736*0.7+M736*-0.25+D736*-0.25</f>
        <v>0.18539999999999995</v>
      </c>
      <c r="V736">
        <f>J736*0.5+I736*-0.5</f>
        <v>-0.26654999999999995</v>
      </c>
      <c r="W736">
        <f>M736*0.5+G736*0.25+I736*0.25</f>
        <v>0.68225000000000002</v>
      </c>
    </row>
    <row r="737" spans="1:23" x14ac:dyDescent="0.2">
      <c r="A737">
        <v>4.3799999999999999E-2</v>
      </c>
      <c r="B737">
        <v>0</v>
      </c>
      <c r="C737">
        <v>4</v>
      </c>
      <c r="D737">
        <v>0.108</v>
      </c>
      <c r="E737">
        <v>-5.7190000000000003</v>
      </c>
      <c r="F737">
        <v>201549</v>
      </c>
      <c r="G737">
        <v>0.58199999999999996</v>
      </c>
      <c r="H737">
        <v>198</v>
      </c>
      <c r="I737">
        <v>0.64800000000000002</v>
      </c>
      <c r="J737">
        <v>0.23300000000000001</v>
      </c>
      <c r="K737" t="s">
        <v>2240</v>
      </c>
      <c r="L737">
        <v>24</v>
      </c>
      <c r="M737">
        <v>0.76400000000000001</v>
      </c>
      <c r="N737">
        <v>100.455</v>
      </c>
      <c r="O737">
        <v>0</v>
      </c>
      <c r="P737">
        <v>1</v>
      </c>
      <c r="Q737">
        <v>14</v>
      </c>
      <c r="R737" t="s">
        <v>2241</v>
      </c>
      <c r="S737" t="s">
        <v>2242</v>
      </c>
      <c r="T737">
        <f>I737*-0.5+M737*0.5</f>
        <v>5.7999999999999996E-2</v>
      </c>
      <c r="U737">
        <f>I737*0.7+M737*-0.25+D737*-0.25</f>
        <v>0.2356</v>
      </c>
      <c r="V737">
        <f>J737*0.5+I737*-0.5</f>
        <v>-0.20750000000000002</v>
      </c>
      <c r="W737">
        <f>M737*0.5+G737*0.25+I737*0.25</f>
        <v>0.6895</v>
      </c>
    </row>
    <row r="738" spans="1:23" x14ac:dyDescent="0.2">
      <c r="A738">
        <v>0.19700000000000001</v>
      </c>
      <c r="B738">
        <v>11</v>
      </c>
      <c r="C738">
        <v>4</v>
      </c>
      <c r="D738">
        <v>0.23499999999999999</v>
      </c>
      <c r="E738">
        <v>-7.0430000000000001</v>
      </c>
      <c r="F738">
        <v>245400</v>
      </c>
      <c r="G738">
        <v>0.60499999999999998</v>
      </c>
      <c r="H738">
        <v>243</v>
      </c>
      <c r="I738">
        <v>0.46800000000000003</v>
      </c>
      <c r="J738">
        <v>0.28599999999999998</v>
      </c>
      <c r="K738" t="s">
        <v>2561</v>
      </c>
      <c r="L738">
        <v>20</v>
      </c>
      <c r="M738">
        <v>0.58399999999999996</v>
      </c>
      <c r="N738">
        <v>125.80200000000001</v>
      </c>
      <c r="O738">
        <v>0</v>
      </c>
      <c r="P738">
        <v>0</v>
      </c>
      <c r="Q738">
        <v>8</v>
      </c>
      <c r="R738" t="s">
        <v>726</v>
      </c>
      <c r="S738" t="s">
        <v>2562</v>
      </c>
      <c r="T738">
        <f>I738*-0.5+M738*0.5</f>
        <v>5.7999999999999968E-2</v>
      </c>
      <c r="U738">
        <f>I738*0.7+M738*-0.25+D738*-0.25</f>
        <v>0.12285000000000001</v>
      </c>
      <c r="V738">
        <f>J738*0.5+I738*-0.5</f>
        <v>-9.1000000000000025E-2</v>
      </c>
      <c r="W738">
        <f>M738*0.5+G738*0.25+I738*0.25</f>
        <v>0.56025000000000003</v>
      </c>
    </row>
    <row r="739" spans="1:23" x14ac:dyDescent="0.2">
      <c r="A739">
        <v>3.1800000000000002E-2</v>
      </c>
      <c r="B739">
        <v>8</v>
      </c>
      <c r="C739">
        <v>4</v>
      </c>
      <c r="D739">
        <v>0.122</v>
      </c>
      <c r="E739">
        <v>-6.8639999999999999</v>
      </c>
      <c r="F739">
        <v>223840</v>
      </c>
      <c r="G739">
        <v>0.53900000000000003</v>
      </c>
      <c r="H739">
        <v>219</v>
      </c>
      <c r="I739">
        <v>0.373</v>
      </c>
      <c r="J739">
        <v>0.55600000000000005</v>
      </c>
      <c r="K739" t="s">
        <v>2983</v>
      </c>
      <c r="L739">
        <v>51</v>
      </c>
      <c r="M739">
        <v>0.48799999999999999</v>
      </c>
      <c r="N739">
        <v>137.07300000000001</v>
      </c>
      <c r="O739">
        <v>0</v>
      </c>
      <c r="P739">
        <v>1</v>
      </c>
      <c r="Q739">
        <v>15</v>
      </c>
      <c r="R739" t="s">
        <v>2984</v>
      </c>
      <c r="S739" t="s">
        <v>2985</v>
      </c>
      <c r="T739">
        <f>I739*-0.5+M739*0.5</f>
        <v>5.7499999999999996E-2</v>
      </c>
      <c r="U739">
        <f>I739*0.7+M739*-0.25+D739*-0.25</f>
        <v>0.1086</v>
      </c>
      <c r="V739">
        <f>J739*0.5+I739*-0.5</f>
        <v>9.1500000000000026E-2</v>
      </c>
      <c r="W739">
        <f>M739*0.5+G739*0.25+I739*0.25</f>
        <v>0.47200000000000003</v>
      </c>
    </row>
    <row r="740" spans="1:23" x14ac:dyDescent="0.2">
      <c r="A740">
        <v>9.8500000000000004E-2</v>
      </c>
      <c r="B740">
        <v>7</v>
      </c>
      <c r="C740">
        <v>4</v>
      </c>
      <c r="D740">
        <v>0.217</v>
      </c>
      <c r="E740">
        <v>-6.6509999999999998</v>
      </c>
      <c r="F740">
        <v>231266</v>
      </c>
      <c r="G740">
        <v>0.69699999999999995</v>
      </c>
      <c r="H740">
        <v>229</v>
      </c>
      <c r="I740">
        <v>0.58499999999999996</v>
      </c>
      <c r="J740">
        <v>0.157</v>
      </c>
      <c r="K740" t="s">
        <v>2130</v>
      </c>
      <c r="L740">
        <v>60</v>
      </c>
      <c r="M740">
        <v>0.7</v>
      </c>
      <c r="N740">
        <v>123.01300000000001</v>
      </c>
      <c r="O740">
        <v>0</v>
      </c>
      <c r="P740">
        <v>0</v>
      </c>
      <c r="Q740">
        <v>6</v>
      </c>
      <c r="R740" t="s">
        <v>2131</v>
      </c>
      <c r="S740" t="s">
        <v>2132</v>
      </c>
      <c r="T740">
        <f>I740*-0.5+M740*0.5</f>
        <v>5.7499999999999996E-2</v>
      </c>
      <c r="U740">
        <f>I740*0.7+M740*-0.25+D740*-0.25</f>
        <v>0.18024999999999999</v>
      </c>
      <c r="V740">
        <f>J740*0.5+I740*-0.5</f>
        <v>-0.21399999999999997</v>
      </c>
      <c r="W740">
        <f>M740*0.5+G740*0.25+I740*0.25</f>
        <v>0.67049999999999998</v>
      </c>
    </row>
    <row r="741" spans="1:23" x14ac:dyDescent="0.2">
      <c r="A741">
        <v>6.0699999999999997E-2</v>
      </c>
      <c r="B741">
        <v>10</v>
      </c>
      <c r="C741">
        <v>4</v>
      </c>
      <c r="D741">
        <v>3.5900000000000001E-2</v>
      </c>
      <c r="E741">
        <v>-6.9989999999999997</v>
      </c>
      <c r="F741">
        <v>205213</v>
      </c>
      <c r="G741">
        <v>0.749</v>
      </c>
      <c r="H741">
        <v>203</v>
      </c>
      <c r="I741">
        <v>0.63100000000000001</v>
      </c>
      <c r="J741">
        <v>1.3899999999999999E-2</v>
      </c>
      <c r="K741" t="s">
        <v>1625</v>
      </c>
      <c r="L741">
        <v>40</v>
      </c>
      <c r="M741">
        <v>0.746</v>
      </c>
      <c r="N741">
        <v>108.96599999999999</v>
      </c>
      <c r="O741">
        <v>0</v>
      </c>
      <c r="P741">
        <v>0</v>
      </c>
      <c r="Q741">
        <v>19</v>
      </c>
      <c r="R741" t="s">
        <v>1626</v>
      </c>
      <c r="S741" t="s">
        <v>1627</v>
      </c>
      <c r="T741">
        <f>I741*-0.5+M741*0.5</f>
        <v>5.7499999999999996E-2</v>
      </c>
      <c r="U741">
        <f>I741*0.7+M741*-0.25+D741*-0.25</f>
        <v>0.24622499999999997</v>
      </c>
      <c r="V741">
        <f>J741*0.5+I741*-0.5</f>
        <v>-0.30854999999999999</v>
      </c>
      <c r="W741">
        <f>M741*0.5+G741*0.25+I741*0.25</f>
        <v>0.71799999999999997</v>
      </c>
    </row>
    <row r="742" spans="1:23" x14ac:dyDescent="0.2">
      <c r="A742">
        <v>0.316</v>
      </c>
      <c r="B742">
        <v>10</v>
      </c>
      <c r="C742">
        <v>4</v>
      </c>
      <c r="D742">
        <v>0.16200000000000001</v>
      </c>
      <c r="E742">
        <v>-5.6529999999999996</v>
      </c>
      <c r="F742">
        <v>270147</v>
      </c>
      <c r="G742">
        <v>0.76600000000000001</v>
      </c>
      <c r="H742">
        <v>228</v>
      </c>
      <c r="I742">
        <v>0.49199999999999999</v>
      </c>
      <c r="J742">
        <v>6.4899999999999999E-2</v>
      </c>
      <c r="K742" t="s">
        <v>2018</v>
      </c>
      <c r="L742">
        <v>21</v>
      </c>
      <c r="M742">
        <v>0.60599999999999998</v>
      </c>
      <c r="N742">
        <v>160.136</v>
      </c>
      <c r="O742">
        <v>0</v>
      </c>
      <c r="P742">
        <v>0</v>
      </c>
      <c r="Q742">
        <v>7</v>
      </c>
      <c r="R742" t="s">
        <v>2019</v>
      </c>
      <c r="S742" t="s">
        <v>2020</v>
      </c>
      <c r="T742">
        <f>I742*-0.5+M742*0.5</f>
        <v>5.6999999999999995E-2</v>
      </c>
      <c r="U742">
        <f>I742*0.7+M742*-0.25+D742*-0.25</f>
        <v>0.15239999999999998</v>
      </c>
      <c r="V742">
        <f>J742*0.5+I742*-0.5</f>
        <v>-0.21354999999999999</v>
      </c>
      <c r="W742">
        <f>M742*0.5+G742*0.25+I742*0.25</f>
        <v>0.61749999999999994</v>
      </c>
    </row>
    <row r="743" spans="1:23" x14ac:dyDescent="0.2">
      <c r="A743">
        <v>3.1699999999999999E-2</v>
      </c>
      <c r="B743">
        <v>1</v>
      </c>
      <c r="C743">
        <v>4</v>
      </c>
      <c r="D743">
        <v>8.6400000000000005E-2</v>
      </c>
      <c r="E743">
        <v>-3.198</v>
      </c>
      <c r="F743">
        <v>196627</v>
      </c>
      <c r="G743">
        <v>0.75900000000000001</v>
      </c>
      <c r="H743">
        <v>190</v>
      </c>
      <c r="I743">
        <v>0.73499999999999999</v>
      </c>
      <c r="J743">
        <v>9.8299999999999993E-4</v>
      </c>
      <c r="K743" t="s">
        <v>1313</v>
      </c>
      <c r="L743">
        <v>42</v>
      </c>
      <c r="M743">
        <v>0.84899999999999998</v>
      </c>
      <c r="N743">
        <v>122.033</v>
      </c>
      <c r="O743" s="1">
        <v>1.5099999999999999E-5</v>
      </c>
      <c r="P743">
        <v>0</v>
      </c>
      <c r="Q743">
        <v>14</v>
      </c>
      <c r="R743" t="s">
        <v>844</v>
      </c>
      <c r="S743" t="s">
        <v>1314</v>
      </c>
      <c r="T743">
        <f>I743*-0.5+M743*0.5</f>
        <v>5.6999999999999995E-2</v>
      </c>
      <c r="U743">
        <f>I743*0.7+M743*-0.25+D743*-0.25</f>
        <v>0.28064999999999996</v>
      </c>
      <c r="V743">
        <f>J743*0.5+I743*-0.5</f>
        <v>-0.36700850000000002</v>
      </c>
      <c r="W743">
        <f>M743*0.5+G743*0.25+I743*0.25</f>
        <v>0.79799999999999993</v>
      </c>
    </row>
    <row r="744" spans="1:23" x14ac:dyDescent="0.2">
      <c r="A744">
        <v>0.11600000000000001</v>
      </c>
      <c r="B744">
        <v>2</v>
      </c>
      <c r="C744">
        <v>4</v>
      </c>
      <c r="D744">
        <v>0.29099999999999998</v>
      </c>
      <c r="E744">
        <v>-2.7410000000000001</v>
      </c>
      <c r="F744">
        <v>199693</v>
      </c>
      <c r="G744">
        <v>0.755</v>
      </c>
      <c r="H744">
        <v>198</v>
      </c>
      <c r="I744">
        <v>0.71899999999999997</v>
      </c>
      <c r="J744">
        <v>7.46E-2</v>
      </c>
      <c r="K744" t="s">
        <v>1704</v>
      </c>
      <c r="L744">
        <v>33</v>
      </c>
      <c r="M744">
        <v>0.83199999999999996</v>
      </c>
      <c r="N744">
        <v>120.032</v>
      </c>
      <c r="O744" s="1">
        <v>1.2699999999999999E-6</v>
      </c>
      <c r="P744">
        <v>0</v>
      </c>
      <c r="Q744">
        <v>1</v>
      </c>
      <c r="R744" t="s">
        <v>237</v>
      </c>
      <c r="S744" t="s">
        <v>1705</v>
      </c>
      <c r="T744">
        <f>I744*-0.5+M744*0.5</f>
        <v>5.6499999999999995E-2</v>
      </c>
      <c r="U744">
        <f>I744*0.7+M744*-0.25+D744*-0.25</f>
        <v>0.22255000000000003</v>
      </c>
      <c r="V744">
        <f>J744*0.5+I744*-0.5</f>
        <v>-0.32219999999999999</v>
      </c>
      <c r="W744">
        <f>M744*0.5+G744*0.25+I744*0.25</f>
        <v>0.78449999999999998</v>
      </c>
    </row>
    <row r="745" spans="1:23" x14ac:dyDescent="0.2">
      <c r="A745">
        <v>4.3700000000000003E-2</v>
      </c>
      <c r="B745">
        <v>1</v>
      </c>
      <c r="C745">
        <v>4</v>
      </c>
      <c r="D745">
        <v>5.7000000000000002E-2</v>
      </c>
      <c r="E745">
        <v>-4.1020000000000003</v>
      </c>
      <c r="F745">
        <v>198773</v>
      </c>
      <c r="G745">
        <v>0.626</v>
      </c>
      <c r="H745">
        <v>196</v>
      </c>
      <c r="I745">
        <v>0.65300000000000002</v>
      </c>
      <c r="J745">
        <v>0.28899999999999998</v>
      </c>
      <c r="K745" t="s">
        <v>2389</v>
      </c>
      <c r="L745">
        <v>58</v>
      </c>
      <c r="M745">
        <v>0.76500000000000001</v>
      </c>
      <c r="N745">
        <v>93.049000000000007</v>
      </c>
      <c r="O745" s="1">
        <v>5.9699999999999996E-6</v>
      </c>
      <c r="P745">
        <v>1</v>
      </c>
      <c r="Q745">
        <v>20</v>
      </c>
      <c r="R745" t="s">
        <v>2390</v>
      </c>
      <c r="S745" t="s">
        <v>2391</v>
      </c>
      <c r="T745">
        <f>I745*-0.5+M745*0.5</f>
        <v>5.5999999999999994E-2</v>
      </c>
      <c r="U745">
        <f>I745*0.7+M745*-0.25+D745*-0.25</f>
        <v>0.25160000000000005</v>
      </c>
      <c r="V745">
        <f>J745*0.5+I745*-0.5</f>
        <v>-0.18200000000000002</v>
      </c>
      <c r="W745">
        <f>M745*0.5+G745*0.25+I745*0.25</f>
        <v>0.70225000000000004</v>
      </c>
    </row>
    <row r="746" spans="1:23" x14ac:dyDescent="0.2">
      <c r="A746">
        <v>3.6700000000000003E-2</v>
      </c>
      <c r="B746">
        <v>5</v>
      </c>
      <c r="C746">
        <v>4</v>
      </c>
      <c r="D746">
        <v>0.39200000000000002</v>
      </c>
      <c r="E746">
        <v>-5.0990000000000002</v>
      </c>
      <c r="F746">
        <v>220947</v>
      </c>
      <c r="G746">
        <v>0.51400000000000001</v>
      </c>
      <c r="H746">
        <v>219</v>
      </c>
      <c r="I746">
        <v>0.57199999999999995</v>
      </c>
      <c r="J746">
        <v>7.4899999999999994E-2</v>
      </c>
      <c r="K746" t="s">
        <v>1943</v>
      </c>
      <c r="L746">
        <v>44</v>
      </c>
      <c r="M746">
        <v>0.68300000000000005</v>
      </c>
      <c r="N746">
        <v>159.81399999999999</v>
      </c>
      <c r="O746" s="1">
        <v>2.6400000000000001E-6</v>
      </c>
      <c r="P746">
        <v>1</v>
      </c>
      <c r="Q746">
        <v>11</v>
      </c>
      <c r="R746" t="s">
        <v>206</v>
      </c>
      <c r="S746" t="s">
        <v>1944</v>
      </c>
      <c r="T746">
        <f>I746*-0.5+M746*0.5</f>
        <v>5.5500000000000049E-2</v>
      </c>
      <c r="U746">
        <f>I746*0.7+M746*-0.25+D746*-0.25</f>
        <v>0.13164999999999991</v>
      </c>
      <c r="V746">
        <f>J746*0.5+I746*-0.5</f>
        <v>-0.24854999999999999</v>
      </c>
      <c r="W746">
        <f>M746*0.5+G746*0.25+I746*0.25</f>
        <v>0.61299999999999999</v>
      </c>
    </row>
    <row r="747" spans="1:23" x14ac:dyDescent="0.2">
      <c r="A747">
        <v>3.3099999999999997E-2</v>
      </c>
      <c r="B747">
        <v>3</v>
      </c>
      <c r="C747">
        <v>4</v>
      </c>
      <c r="D747">
        <v>0.35799999999999998</v>
      </c>
      <c r="E747">
        <v>-5.4969999999999999</v>
      </c>
      <c r="F747">
        <v>183493</v>
      </c>
      <c r="G747">
        <v>0.66300000000000003</v>
      </c>
      <c r="H747">
        <v>181</v>
      </c>
      <c r="I747">
        <v>0.60899999999999999</v>
      </c>
      <c r="J747">
        <v>2.1199999999999999E-3</v>
      </c>
      <c r="K747" t="s">
        <v>1640</v>
      </c>
      <c r="L747">
        <v>14</v>
      </c>
      <c r="M747">
        <v>0.72</v>
      </c>
      <c r="N747">
        <v>135.34200000000001</v>
      </c>
      <c r="O747">
        <v>0</v>
      </c>
      <c r="P747">
        <v>1</v>
      </c>
      <c r="Q747">
        <v>17</v>
      </c>
      <c r="R747" t="s">
        <v>23</v>
      </c>
      <c r="S747" t="s">
        <v>1641</v>
      </c>
      <c r="T747">
        <f>I747*-0.5+M747*0.5</f>
        <v>5.5499999999999994E-2</v>
      </c>
      <c r="U747">
        <f>I747*0.7+M747*-0.25+D747*-0.25</f>
        <v>0.15679999999999997</v>
      </c>
      <c r="V747">
        <f>J747*0.5+I747*-0.5</f>
        <v>-0.30343999999999999</v>
      </c>
      <c r="W747">
        <f>M747*0.5+G747*0.25+I747*0.25</f>
        <v>0.67799999999999994</v>
      </c>
    </row>
    <row r="748" spans="1:23" x14ac:dyDescent="0.2">
      <c r="A748">
        <v>5.3499999999999999E-2</v>
      </c>
      <c r="B748">
        <v>7</v>
      </c>
      <c r="C748">
        <v>4</v>
      </c>
      <c r="D748">
        <v>3.85E-2</v>
      </c>
      <c r="E748">
        <v>-2.944</v>
      </c>
      <c r="F748">
        <v>215693</v>
      </c>
      <c r="G748">
        <v>0.66800000000000004</v>
      </c>
      <c r="H748">
        <v>211</v>
      </c>
      <c r="I748">
        <v>0.746</v>
      </c>
      <c r="J748">
        <v>1.9099999999999999E-2</v>
      </c>
      <c r="K748" t="s">
        <v>1419</v>
      </c>
      <c r="L748">
        <v>40</v>
      </c>
      <c r="M748">
        <v>0.85699999999999998</v>
      </c>
      <c r="N748">
        <v>131.959</v>
      </c>
      <c r="O748" s="1">
        <v>6.7100000000000001E-6</v>
      </c>
      <c r="P748">
        <v>0</v>
      </c>
      <c r="Q748">
        <v>4</v>
      </c>
      <c r="R748" t="s">
        <v>1420</v>
      </c>
      <c r="S748" t="s">
        <v>1421</v>
      </c>
      <c r="T748">
        <f>I748*-0.5+M748*0.5</f>
        <v>5.5499999999999994E-2</v>
      </c>
      <c r="U748">
        <f>I748*0.7+M748*-0.25+D748*-0.25</f>
        <v>0.29832500000000001</v>
      </c>
      <c r="V748">
        <f>J748*0.5+I748*-0.5</f>
        <v>-0.36345</v>
      </c>
      <c r="W748">
        <f>M748*0.5+G748*0.25+I748*0.25</f>
        <v>0.78200000000000003</v>
      </c>
    </row>
    <row r="749" spans="1:23" x14ac:dyDescent="0.2">
      <c r="A749">
        <v>0.254</v>
      </c>
      <c r="B749">
        <v>6</v>
      </c>
      <c r="C749">
        <v>4</v>
      </c>
      <c r="D749">
        <v>0.29899999999999999</v>
      </c>
      <c r="E749">
        <v>-3.9319999999999999</v>
      </c>
      <c r="F749">
        <v>287000</v>
      </c>
      <c r="G749">
        <v>0.64600000000000002</v>
      </c>
      <c r="H749">
        <v>206</v>
      </c>
      <c r="I749">
        <v>0.70199999999999996</v>
      </c>
      <c r="J749">
        <v>0.218</v>
      </c>
      <c r="K749" t="s">
        <v>2161</v>
      </c>
      <c r="L749">
        <v>12</v>
      </c>
      <c r="M749">
        <v>0.81200000000000006</v>
      </c>
      <c r="N749">
        <v>95.013999999999996</v>
      </c>
      <c r="O749">
        <v>0</v>
      </c>
      <c r="P749">
        <v>1</v>
      </c>
      <c r="Q749">
        <v>5</v>
      </c>
      <c r="R749" t="s">
        <v>2162</v>
      </c>
      <c r="S749" t="s">
        <v>2163</v>
      </c>
      <c r="T749">
        <f>I749*-0.5+M749*0.5</f>
        <v>5.5000000000000049E-2</v>
      </c>
      <c r="U749">
        <f>I749*0.7+M749*-0.25+D749*-0.25</f>
        <v>0.21364999999999995</v>
      </c>
      <c r="V749">
        <f>J749*0.5+I749*-0.5</f>
        <v>-0.24199999999999999</v>
      </c>
      <c r="W749">
        <f>M749*0.5+G749*0.25+I749*0.25</f>
        <v>0.74299999999999999</v>
      </c>
    </row>
    <row r="750" spans="1:23" x14ac:dyDescent="0.2">
      <c r="A750">
        <v>0.124</v>
      </c>
      <c r="B750">
        <v>6</v>
      </c>
      <c r="C750">
        <v>4</v>
      </c>
      <c r="D750">
        <v>0.26900000000000002</v>
      </c>
      <c r="E750">
        <v>-5.4649999999999999</v>
      </c>
      <c r="F750">
        <v>283533</v>
      </c>
      <c r="G750">
        <v>0.65600000000000003</v>
      </c>
      <c r="H750">
        <v>221</v>
      </c>
      <c r="I750">
        <v>0.61399999999999999</v>
      </c>
      <c r="J750">
        <v>3.9500000000000004E-3</v>
      </c>
      <c r="K750" t="s">
        <v>1650</v>
      </c>
      <c r="L750">
        <v>7</v>
      </c>
      <c r="M750">
        <v>0.72399999999999998</v>
      </c>
      <c r="N750">
        <v>185.74799999999999</v>
      </c>
      <c r="O750" s="1">
        <v>4.9799999999999998E-5</v>
      </c>
      <c r="P750">
        <v>0</v>
      </c>
      <c r="Q750">
        <v>7</v>
      </c>
      <c r="R750" t="s">
        <v>1651</v>
      </c>
      <c r="S750" t="s">
        <v>1652</v>
      </c>
      <c r="T750">
        <f>I750*-0.5+M750*0.5</f>
        <v>5.4999999999999993E-2</v>
      </c>
      <c r="U750">
        <f>I750*0.7+M750*-0.25+D750*-0.25</f>
        <v>0.18154999999999996</v>
      </c>
      <c r="V750">
        <f>J750*0.5+I750*-0.5</f>
        <v>-0.30502499999999999</v>
      </c>
      <c r="W750">
        <f>M750*0.5+G750*0.25+I750*0.25</f>
        <v>0.67949999999999999</v>
      </c>
    </row>
    <row r="751" spans="1:23" x14ac:dyDescent="0.2">
      <c r="A751">
        <v>4.36E-2</v>
      </c>
      <c r="B751">
        <v>1</v>
      </c>
      <c r="C751">
        <v>4</v>
      </c>
      <c r="D751">
        <v>8.5999999999999993E-2</v>
      </c>
      <c r="E751">
        <v>-4.4320000000000004</v>
      </c>
      <c r="F751">
        <v>216667</v>
      </c>
      <c r="G751">
        <v>0.67500000000000004</v>
      </c>
      <c r="H751">
        <v>213</v>
      </c>
      <c r="I751">
        <v>0.77500000000000002</v>
      </c>
      <c r="J751">
        <v>0.217</v>
      </c>
      <c r="K751" t="s">
        <v>2049</v>
      </c>
      <c r="L751">
        <v>33</v>
      </c>
      <c r="M751">
        <v>0.88500000000000001</v>
      </c>
      <c r="N751">
        <v>97.03</v>
      </c>
      <c r="O751">
        <v>0</v>
      </c>
      <c r="P751">
        <v>0</v>
      </c>
      <c r="Q751">
        <v>10</v>
      </c>
      <c r="R751" t="s">
        <v>844</v>
      </c>
      <c r="S751" t="s">
        <v>2050</v>
      </c>
      <c r="T751">
        <f>I751*-0.5+M751*0.5</f>
        <v>5.4999999999999993E-2</v>
      </c>
      <c r="U751">
        <f>I751*0.7+M751*-0.25+D751*-0.25</f>
        <v>0.29974999999999996</v>
      </c>
      <c r="V751">
        <f>J751*0.5+I751*-0.5</f>
        <v>-0.27900000000000003</v>
      </c>
      <c r="W751">
        <f>M751*0.5+G751*0.25+I751*0.25</f>
        <v>0.80500000000000005</v>
      </c>
    </row>
    <row r="752" spans="1:23" x14ac:dyDescent="0.2">
      <c r="A752">
        <v>8.2799999999999999E-2</v>
      </c>
      <c r="B752">
        <v>5</v>
      </c>
      <c r="C752">
        <v>4</v>
      </c>
      <c r="D752">
        <v>0.223</v>
      </c>
      <c r="E752">
        <v>-3.7490000000000001</v>
      </c>
      <c r="F752">
        <v>219893</v>
      </c>
      <c r="G752">
        <v>0.68799999999999994</v>
      </c>
      <c r="H752">
        <v>218</v>
      </c>
      <c r="I752">
        <v>0.83499999999999996</v>
      </c>
      <c r="J752">
        <v>1.61E-2</v>
      </c>
      <c r="K752" t="s">
        <v>1207</v>
      </c>
      <c r="L752">
        <v>7</v>
      </c>
      <c r="M752">
        <v>0.94499999999999995</v>
      </c>
      <c r="N752">
        <v>109.02200000000001</v>
      </c>
      <c r="O752">
        <v>4.6600000000000001E-3</v>
      </c>
      <c r="P752">
        <v>0</v>
      </c>
      <c r="Q752">
        <v>4</v>
      </c>
      <c r="R752" t="s">
        <v>703</v>
      </c>
      <c r="S752" t="s">
        <v>1208</v>
      </c>
      <c r="T752">
        <f>I752*-0.5+M752*0.5</f>
        <v>5.4999999999999993E-2</v>
      </c>
      <c r="U752">
        <f>I752*0.7+M752*-0.25+D752*-0.25</f>
        <v>0.29249999999999993</v>
      </c>
      <c r="V752">
        <f>J752*0.5+I752*-0.5</f>
        <v>-0.40944999999999998</v>
      </c>
      <c r="W752">
        <f>M752*0.5+G752*0.25+I752*0.25</f>
        <v>0.85324999999999995</v>
      </c>
    </row>
    <row r="753" spans="1:23" x14ac:dyDescent="0.2">
      <c r="A753">
        <v>4.4499999999999998E-2</v>
      </c>
      <c r="B753">
        <v>4</v>
      </c>
      <c r="C753">
        <v>4</v>
      </c>
      <c r="D753">
        <v>0.2</v>
      </c>
      <c r="E753">
        <v>-4.7990000000000004</v>
      </c>
      <c r="F753">
        <v>216200</v>
      </c>
      <c r="G753">
        <v>0.69799999999999995</v>
      </c>
      <c r="H753">
        <v>206</v>
      </c>
      <c r="I753">
        <v>0.71899999999999997</v>
      </c>
      <c r="J753">
        <v>4.1599999999999997E-4</v>
      </c>
      <c r="K753" t="s">
        <v>1407</v>
      </c>
      <c r="L753">
        <v>36</v>
      </c>
      <c r="M753">
        <v>0.82799999999999996</v>
      </c>
      <c r="N753">
        <v>102.971</v>
      </c>
      <c r="O753">
        <v>0</v>
      </c>
      <c r="P753">
        <v>0</v>
      </c>
      <c r="Q753">
        <v>10</v>
      </c>
      <c r="R753" t="s">
        <v>108</v>
      </c>
      <c r="S753" t="s">
        <v>1408</v>
      </c>
      <c r="T753">
        <f>I753*-0.5+M753*0.5</f>
        <v>5.4499999999999993E-2</v>
      </c>
      <c r="U753">
        <f>I753*0.7+M753*-0.25+D753*-0.25</f>
        <v>0.24630000000000002</v>
      </c>
      <c r="V753">
        <f>J753*0.5+I753*-0.5</f>
        <v>-0.359292</v>
      </c>
      <c r="W753">
        <f>M753*0.5+G753*0.25+I753*0.25</f>
        <v>0.76824999999999999</v>
      </c>
    </row>
    <row r="754" spans="1:23" x14ac:dyDescent="0.2">
      <c r="A754">
        <v>2.58E-2</v>
      </c>
      <c r="B754">
        <v>9</v>
      </c>
      <c r="C754">
        <v>4</v>
      </c>
      <c r="D754">
        <v>0.623</v>
      </c>
      <c r="E754">
        <v>-5.3559999999999999</v>
      </c>
      <c r="F754">
        <v>189399</v>
      </c>
      <c r="G754">
        <v>0.76</v>
      </c>
      <c r="H754">
        <v>188</v>
      </c>
      <c r="I754">
        <v>0.77800000000000002</v>
      </c>
      <c r="J754">
        <v>2.1899999999999999E-2</v>
      </c>
      <c r="K754" t="s">
        <v>1362</v>
      </c>
      <c r="L754">
        <v>54</v>
      </c>
      <c r="M754">
        <v>0.88600000000000001</v>
      </c>
      <c r="N754">
        <v>123.002</v>
      </c>
      <c r="O754" s="1">
        <v>7.43E-6</v>
      </c>
      <c r="P754">
        <v>0</v>
      </c>
      <c r="Q754">
        <v>11</v>
      </c>
      <c r="R754" t="s">
        <v>1363</v>
      </c>
      <c r="S754" t="s">
        <v>1364</v>
      </c>
      <c r="T754">
        <f>I754*-0.5+M754*0.5</f>
        <v>5.3999999999999992E-2</v>
      </c>
      <c r="U754">
        <f>I754*0.7+M754*-0.25+D754*-0.25</f>
        <v>0.16734999999999994</v>
      </c>
      <c r="V754">
        <f>J754*0.5+I754*-0.5</f>
        <v>-0.37805</v>
      </c>
      <c r="W754">
        <f>M754*0.5+G754*0.25+I754*0.25</f>
        <v>0.82750000000000001</v>
      </c>
    </row>
    <row r="755" spans="1:23" x14ac:dyDescent="0.2">
      <c r="A755">
        <v>7.1400000000000005E-2</v>
      </c>
      <c r="B755">
        <v>1</v>
      </c>
      <c r="C755">
        <v>4</v>
      </c>
      <c r="D755">
        <v>7.8200000000000006E-2</v>
      </c>
      <c r="E755">
        <v>-7.9710000000000001</v>
      </c>
      <c r="F755">
        <v>261707</v>
      </c>
      <c r="G755">
        <v>0.66900000000000004</v>
      </c>
      <c r="H755">
        <v>231</v>
      </c>
      <c r="I755">
        <v>0.59299999999999997</v>
      </c>
      <c r="J755">
        <v>2.4E-2</v>
      </c>
      <c r="K755" t="s">
        <v>1774</v>
      </c>
      <c r="L755">
        <v>3</v>
      </c>
      <c r="M755">
        <v>0.7</v>
      </c>
      <c r="N755">
        <v>83.989000000000004</v>
      </c>
      <c r="O755">
        <v>0</v>
      </c>
      <c r="P755">
        <v>1</v>
      </c>
      <c r="Q755">
        <v>2</v>
      </c>
      <c r="R755" t="s">
        <v>1261</v>
      </c>
      <c r="S755" t="s">
        <v>1775</v>
      </c>
      <c r="T755">
        <f>I755*-0.5+M755*0.5</f>
        <v>5.3499999999999992E-2</v>
      </c>
      <c r="U755">
        <f>I755*0.7+M755*-0.25+D755*-0.25</f>
        <v>0.22054999999999997</v>
      </c>
      <c r="V755">
        <f>J755*0.5+I755*-0.5</f>
        <v>-0.28449999999999998</v>
      </c>
      <c r="W755">
        <f>M755*0.5+G755*0.25+I755*0.25</f>
        <v>0.66549999999999998</v>
      </c>
    </row>
    <row r="756" spans="1:23" x14ac:dyDescent="0.2">
      <c r="A756">
        <v>0.22500000000000001</v>
      </c>
      <c r="B756">
        <v>10</v>
      </c>
      <c r="C756">
        <v>4</v>
      </c>
      <c r="D756">
        <v>5.3499999999999999E-2</v>
      </c>
      <c r="E756">
        <v>-6.1230000000000002</v>
      </c>
      <c r="F756">
        <v>270880</v>
      </c>
      <c r="G756">
        <v>0.67</v>
      </c>
      <c r="H756">
        <v>228</v>
      </c>
      <c r="I756">
        <v>0.51</v>
      </c>
      <c r="J756">
        <v>0.57299999999999995</v>
      </c>
      <c r="K756" t="s">
        <v>2968</v>
      </c>
      <c r="L756">
        <v>14</v>
      </c>
      <c r="M756">
        <v>0.61599999999999999</v>
      </c>
      <c r="N756">
        <v>120.129</v>
      </c>
      <c r="O756">
        <v>0</v>
      </c>
      <c r="P756">
        <v>1</v>
      </c>
      <c r="Q756">
        <v>13</v>
      </c>
      <c r="R756" t="s">
        <v>2969</v>
      </c>
      <c r="S756" t="s">
        <v>2970</v>
      </c>
      <c r="T756">
        <f>I756*-0.5+M756*0.5</f>
        <v>5.2999999999999992E-2</v>
      </c>
      <c r="U756">
        <f>I756*0.7+M756*-0.25+D756*-0.25</f>
        <v>0.18962499999999999</v>
      </c>
      <c r="V756">
        <f>J756*0.5+I756*-0.5</f>
        <v>3.1499999999999972E-2</v>
      </c>
      <c r="W756">
        <f>M756*0.5+G756*0.25+I756*0.25</f>
        <v>0.60299999999999998</v>
      </c>
    </row>
    <row r="757" spans="1:23" x14ac:dyDescent="0.2">
      <c r="A757">
        <v>0.23499999999999999</v>
      </c>
      <c r="B757">
        <v>6</v>
      </c>
      <c r="C757">
        <v>4</v>
      </c>
      <c r="D757">
        <v>0.107</v>
      </c>
      <c r="E757">
        <v>-7.1859999999999999</v>
      </c>
      <c r="F757">
        <v>222000</v>
      </c>
      <c r="G757">
        <v>0.65400000000000003</v>
      </c>
      <c r="H757">
        <v>217</v>
      </c>
      <c r="I757">
        <v>0.45800000000000002</v>
      </c>
      <c r="J757">
        <v>0.30399999999999999</v>
      </c>
      <c r="K757" t="s">
        <v>2645</v>
      </c>
      <c r="L757">
        <v>22</v>
      </c>
      <c r="M757">
        <v>0.56399999999999995</v>
      </c>
      <c r="N757">
        <v>86.947999999999993</v>
      </c>
      <c r="O757">
        <v>0</v>
      </c>
      <c r="P757">
        <v>1</v>
      </c>
      <c r="Q757">
        <v>9</v>
      </c>
      <c r="R757" t="s">
        <v>1148</v>
      </c>
      <c r="S757" t="s">
        <v>2646</v>
      </c>
      <c r="T757">
        <f>I757*-0.5+M757*0.5</f>
        <v>5.2999999999999964E-2</v>
      </c>
      <c r="U757">
        <f>I757*0.7+M757*-0.25+D757*-0.25</f>
        <v>0.15285000000000001</v>
      </c>
      <c r="V757">
        <f>J757*0.5+I757*-0.5</f>
        <v>-7.7000000000000013E-2</v>
      </c>
      <c r="W757">
        <f>M757*0.5+G757*0.25+I757*0.25</f>
        <v>0.56000000000000005</v>
      </c>
    </row>
    <row r="758" spans="1:23" x14ac:dyDescent="0.2">
      <c r="A758">
        <v>0.28399999999999997</v>
      </c>
      <c r="B758">
        <v>7</v>
      </c>
      <c r="C758">
        <v>4</v>
      </c>
      <c r="D758">
        <v>0.13600000000000001</v>
      </c>
      <c r="E758">
        <v>-7.0330000000000004</v>
      </c>
      <c r="F758">
        <v>230453</v>
      </c>
      <c r="G758">
        <v>0.67500000000000004</v>
      </c>
      <c r="H758">
        <v>227</v>
      </c>
      <c r="I758">
        <v>0.49</v>
      </c>
      <c r="J758">
        <v>0.16800000000000001</v>
      </c>
      <c r="K758" t="s">
        <v>2328</v>
      </c>
      <c r="L758">
        <v>61</v>
      </c>
      <c r="M758">
        <v>0.59499999999999997</v>
      </c>
      <c r="N758">
        <v>185.99799999999999</v>
      </c>
      <c r="O758" s="1">
        <v>3.36E-6</v>
      </c>
      <c r="P758">
        <v>1</v>
      </c>
      <c r="Q758">
        <v>6</v>
      </c>
      <c r="R758" t="s">
        <v>2329</v>
      </c>
      <c r="S758" t="s">
        <v>2330</v>
      </c>
      <c r="T758">
        <f>I758*-0.5+M758*0.5</f>
        <v>5.2499999999999991E-2</v>
      </c>
      <c r="U758">
        <f>I758*0.7+M758*-0.25+D758*-0.25</f>
        <v>0.16024999999999998</v>
      </c>
      <c r="V758">
        <f>J758*0.5+I758*-0.5</f>
        <v>-0.16099999999999998</v>
      </c>
      <c r="W758">
        <f>M758*0.5+G758*0.25+I758*0.25</f>
        <v>0.58875</v>
      </c>
    </row>
    <row r="759" spans="1:23" x14ac:dyDescent="0.2">
      <c r="A759">
        <v>3.7199999999999997E-2</v>
      </c>
      <c r="B759">
        <v>1</v>
      </c>
      <c r="C759">
        <v>4</v>
      </c>
      <c r="D759">
        <v>0.28100000000000003</v>
      </c>
      <c r="E759">
        <v>-4.8230000000000004</v>
      </c>
      <c r="F759">
        <v>212280</v>
      </c>
      <c r="G759">
        <v>0.74099999999999999</v>
      </c>
      <c r="H759">
        <v>211</v>
      </c>
      <c r="I759">
        <v>0.71099999999999997</v>
      </c>
      <c r="J759">
        <v>1.0399999999999999E-3</v>
      </c>
      <c r="K759" t="s">
        <v>1442</v>
      </c>
      <c r="L759">
        <v>26</v>
      </c>
      <c r="M759">
        <v>0.81599999999999995</v>
      </c>
      <c r="N759">
        <v>132.94900000000001</v>
      </c>
      <c r="O759">
        <v>9.6799999999999997E-2</v>
      </c>
      <c r="P759">
        <v>1</v>
      </c>
      <c r="Q759">
        <v>4</v>
      </c>
      <c r="R759" t="s">
        <v>638</v>
      </c>
      <c r="S759" t="s">
        <v>1443</v>
      </c>
      <c r="T759">
        <f>I759*-0.5+M759*0.5</f>
        <v>5.2499999999999991E-2</v>
      </c>
      <c r="U759">
        <f>I759*0.7+M759*-0.25+D759*-0.25</f>
        <v>0.22344999999999995</v>
      </c>
      <c r="V759">
        <f>J759*0.5+I759*-0.5</f>
        <v>-0.35497999999999996</v>
      </c>
      <c r="W759">
        <f>M759*0.5+G759*0.25+I759*0.25</f>
        <v>0.77099999999999991</v>
      </c>
    </row>
    <row r="760" spans="1:23" x14ac:dyDescent="0.2">
      <c r="A760">
        <v>3.8699999999999998E-2</v>
      </c>
      <c r="B760">
        <v>7</v>
      </c>
      <c r="C760">
        <v>4</v>
      </c>
      <c r="D760">
        <v>3.7199999999999997E-2</v>
      </c>
      <c r="E760">
        <v>-4.6459999999999999</v>
      </c>
      <c r="F760">
        <v>222173</v>
      </c>
      <c r="G760">
        <v>0.57899999999999996</v>
      </c>
      <c r="H760">
        <v>198</v>
      </c>
      <c r="I760">
        <v>0.73099999999999998</v>
      </c>
      <c r="J760">
        <v>2.2499999999999999E-2</v>
      </c>
      <c r="K760" t="s">
        <v>1503</v>
      </c>
      <c r="L760">
        <v>11</v>
      </c>
      <c r="M760">
        <v>0.83599999999999997</v>
      </c>
      <c r="N760">
        <v>161.97300000000001</v>
      </c>
      <c r="O760">
        <v>0</v>
      </c>
      <c r="P760">
        <v>1</v>
      </c>
      <c r="Q760">
        <v>9</v>
      </c>
      <c r="R760" t="s">
        <v>1504</v>
      </c>
      <c r="S760" t="s">
        <v>1505</v>
      </c>
      <c r="T760">
        <f>I760*-0.5+M760*0.5</f>
        <v>5.2499999999999991E-2</v>
      </c>
      <c r="U760">
        <f>I760*0.7+M760*-0.25+D760*-0.25</f>
        <v>0.29339999999999999</v>
      </c>
      <c r="V760">
        <f>J760*0.5+I760*-0.5</f>
        <v>-0.35425000000000001</v>
      </c>
      <c r="W760">
        <f>M760*0.5+G760*0.25+I760*0.25</f>
        <v>0.74549999999999994</v>
      </c>
    </row>
    <row r="761" spans="1:23" x14ac:dyDescent="0.2">
      <c r="A761">
        <v>6.4899999999999999E-2</v>
      </c>
      <c r="B761">
        <v>0</v>
      </c>
      <c r="C761">
        <v>4</v>
      </c>
      <c r="D761">
        <v>0.159</v>
      </c>
      <c r="E761">
        <v>-3.6819999999999999</v>
      </c>
      <c r="F761">
        <v>222733</v>
      </c>
      <c r="G761">
        <v>0.69599999999999995</v>
      </c>
      <c r="H761">
        <v>220</v>
      </c>
      <c r="I761">
        <v>0.77</v>
      </c>
      <c r="J761">
        <v>0.13400000000000001</v>
      </c>
      <c r="K761" t="s">
        <v>1840</v>
      </c>
      <c r="L761">
        <v>38</v>
      </c>
      <c r="M761">
        <v>0.875</v>
      </c>
      <c r="N761">
        <v>127.39</v>
      </c>
      <c r="O761">
        <v>0</v>
      </c>
      <c r="P761">
        <v>1</v>
      </c>
      <c r="Q761">
        <v>15</v>
      </c>
      <c r="R761" t="s">
        <v>1841</v>
      </c>
      <c r="S761" t="s">
        <v>1842</v>
      </c>
      <c r="T761">
        <f>I761*-0.5+M761*0.5</f>
        <v>5.2499999999999991E-2</v>
      </c>
      <c r="U761">
        <f>I761*0.7+M761*-0.25+D761*-0.25</f>
        <v>0.28049999999999992</v>
      </c>
      <c r="V761">
        <f>J761*0.5+I761*-0.5</f>
        <v>-0.318</v>
      </c>
      <c r="W761">
        <f>M761*0.5+G761*0.25+I761*0.25</f>
        <v>0.80399999999999994</v>
      </c>
    </row>
    <row r="762" spans="1:23" x14ac:dyDescent="0.2">
      <c r="A762">
        <v>0.23200000000000001</v>
      </c>
      <c r="B762">
        <v>6</v>
      </c>
      <c r="C762">
        <v>4</v>
      </c>
      <c r="D762">
        <v>0.32800000000000001</v>
      </c>
      <c r="E762">
        <v>-5.9139999999999997</v>
      </c>
      <c r="F762">
        <v>226160</v>
      </c>
      <c r="G762">
        <v>0.65</v>
      </c>
      <c r="H762">
        <v>222</v>
      </c>
      <c r="I762">
        <v>0.624</v>
      </c>
      <c r="J762">
        <v>3.73E-2</v>
      </c>
      <c r="K762" t="s">
        <v>1779</v>
      </c>
      <c r="L762">
        <v>61</v>
      </c>
      <c r="M762">
        <v>0.72799999999999998</v>
      </c>
      <c r="N762">
        <v>159.167</v>
      </c>
      <c r="O762">
        <v>0</v>
      </c>
      <c r="P762">
        <v>0</v>
      </c>
      <c r="Q762">
        <v>4</v>
      </c>
      <c r="R762" t="s">
        <v>1780</v>
      </c>
      <c r="S762" t="s">
        <v>1781</v>
      </c>
      <c r="T762">
        <f>I762*-0.5+M762*0.5</f>
        <v>5.1999999999999991E-2</v>
      </c>
      <c r="U762">
        <f>I762*0.7+M762*-0.25+D762*-0.25</f>
        <v>0.17279999999999995</v>
      </c>
      <c r="V762">
        <f>J762*0.5+I762*-0.5</f>
        <v>-0.29335</v>
      </c>
      <c r="W762">
        <f>M762*0.5+G762*0.25+I762*0.25</f>
        <v>0.6825</v>
      </c>
    </row>
    <row r="763" spans="1:23" x14ac:dyDescent="0.2">
      <c r="A763">
        <v>4.8899999999999999E-2</v>
      </c>
      <c r="B763">
        <v>2</v>
      </c>
      <c r="C763">
        <v>4</v>
      </c>
      <c r="D763">
        <v>0.13200000000000001</v>
      </c>
      <c r="E763">
        <v>-7.2729999999999997</v>
      </c>
      <c r="F763">
        <v>242733</v>
      </c>
      <c r="G763">
        <v>0.77800000000000002</v>
      </c>
      <c r="H763">
        <v>241</v>
      </c>
      <c r="I763">
        <v>0.44400000000000001</v>
      </c>
      <c r="J763">
        <v>0.34599999999999997</v>
      </c>
      <c r="K763" t="s">
        <v>2738</v>
      </c>
      <c r="L763">
        <v>46</v>
      </c>
      <c r="M763">
        <v>0.54700000000000004</v>
      </c>
      <c r="N763">
        <v>95.001999999999995</v>
      </c>
      <c r="O763">
        <v>3.0200000000000002E-4</v>
      </c>
      <c r="P763">
        <v>1</v>
      </c>
      <c r="Q763">
        <v>7</v>
      </c>
      <c r="R763" t="s">
        <v>2739</v>
      </c>
      <c r="S763" t="s">
        <v>2740</v>
      </c>
      <c r="T763">
        <f>I763*-0.5+M763*0.5</f>
        <v>5.1500000000000018E-2</v>
      </c>
      <c r="U763">
        <f>I763*0.7+M763*-0.25+D763*-0.25</f>
        <v>0.14104999999999995</v>
      </c>
      <c r="V763">
        <f>J763*0.5+I763*-0.5</f>
        <v>-4.9000000000000016E-2</v>
      </c>
      <c r="W763">
        <f>M763*0.5+G763*0.25+I763*0.25</f>
        <v>0.57900000000000007</v>
      </c>
    </row>
    <row r="764" spans="1:23" x14ac:dyDescent="0.2">
      <c r="A764">
        <v>8.9200000000000002E-2</v>
      </c>
      <c r="B764">
        <v>2</v>
      </c>
      <c r="C764">
        <v>4</v>
      </c>
      <c r="D764">
        <v>0.123</v>
      </c>
      <c r="E764">
        <v>-10.092000000000001</v>
      </c>
      <c r="F764">
        <v>253947</v>
      </c>
      <c r="G764">
        <v>0.61899999999999999</v>
      </c>
      <c r="H764">
        <v>251</v>
      </c>
      <c r="I764">
        <v>0.41</v>
      </c>
      <c r="J764">
        <v>8.4100000000000008E-3</v>
      </c>
      <c r="K764" t="s">
        <v>2023</v>
      </c>
      <c r="L764">
        <v>18</v>
      </c>
      <c r="M764">
        <v>0.51200000000000001</v>
      </c>
      <c r="N764">
        <v>84.84</v>
      </c>
      <c r="O764" s="1">
        <v>1.48E-6</v>
      </c>
      <c r="P764">
        <v>1</v>
      </c>
      <c r="Q764">
        <v>9</v>
      </c>
      <c r="R764" t="s">
        <v>2024</v>
      </c>
      <c r="S764" t="s">
        <v>2025</v>
      </c>
      <c r="T764">
        <f>I764*-0.5+M764*0.5</f>
        <v>5.1000000000000018E-2</v>
      </c>
      <c r="U764">
        <f>I764*0.7+M764*-0.25+D764*-0.25</f>
        <v>0.12824999999999998</v>
      </c>
      <c r="V764">
        <f>J764*0.5+I764*-0.5</f>
        <v>-0.200795</v>
      </c>
      <c r="W764">
        <f>M764*0.5+G764*0.25+I764*0.25</f>
        <v>0.51324999999999998</v>
      </c>
    </row>
    <row r="765" spans="1:23" x14ac:dyDescent="0.2">
      <c r="A765">
        <v>0.10199999999999999</v>
      </c>
      <c r="B765">
        <v>7</v>
      </c>
      <c r="C765">
        <v>4</v>
      </c>
      <c r="D765">
        <v>0.104</v>
      </c>
      <c r="E765">
        <v>-8.9420000000000002</v>
      </c>
      <c r="F765">
        <v>301200</v>
      </c>
      <c r="G765">
        <v>0.873</v>
      </c>
      <c r="H765">
        <v>301</v>
      </c>
      <c r="I765">
        <v>0.49</v>
      </c>
      <c r="J765">
        <v>7.8799999999999995E-2</v>
      </c>
      <c r="K765" t="s">
        <v>2101</v>
      </c>
      <c r="L765">
        <v>1</v>
      </c>
      <c r="M765">
        <v>0.59099999999999997</v>
      </c>
      <c r="N765">
        <v>123.09099999999999</v>
      </c>
      <c r="O765">
        <v>7.1000000000000004E-3</v>
      </c>
      <c r="P765">
        <v>1</v>
      </c>
      <c r="Q765">
        <v>1</v>
      </c>
      <c r="R765" t="s">
        <v>777</v>
      </c>
      <c r="S765" t="s">
        <v>2102</v>
      </c>
      <c r="T765">
        <f>I765*-0.5+M765*0.5</f>
        <v>5.0499999999999989E-2</v>
      </c>
      <c r="U765">
        <f>I765*0.7+M765*-0.25+D765*-0.25</f>
        <v>0.16924999999999998</v>
      </c>
      <c r="V765">
        <f>J765*0.5+I765*-0.5</f>
        <v>-0.2056</v>
      </c>
      <c r="W765">
        <f>M765*0.5+G765*0.25+I765*0.25</f>
        <v>0.63624999999999998</v>
      </c>
    </row>
    <row r="766" spans="1:23" x14ac:dyDescent="0.2">
      <c r="A766">
        <v>8.8800000000000004E-2</v>
      </c>
      <c r="B766">
        <v>4</v>
      </c>
      <c r="C766">
        <v>4</v>
      </c>
      <c r="D766">
        <v>9.9400000000000002E-2</v>
      </c>
      <c r="E766">
        <v>-4.1870000000000003</v>
      </c>
      <c r="F766">
        <v>181880</v>
      </c>
      <c r="G766">
        <v>0.71199999999999997</v>
      </c>
      <c r="H766">
        <v>179</v>
      </c>
      <c r="I766">
        <v>0.51900000000000002</v>
      </c>
      <c r="J766">
        <v>0.39</v>
      </c>
      <c r="K766" t="s">
        <v>2749</v>
      </c>
      <c r="L766">
        <v>60</v>
      </c>
      <c r="M766">
        <v>0.62</v>
      </c>
      <c r="N766">
        <v>99.953000000000003</v>
      </c>
      <c r="O766">
        <v>0</v>
      </c>
      <c r="P766">
        <v>1</v>
      </c>
      <c r="Q766">
        <v>8</v>
      </c>
      <c r="R766" t="s">
        <v>2750</v>
      </c>
      <c r="S766" t="s">
        <v>2751</v>
      </c>
      <c r="T766">
        <f>I766*-0.5+M766*0.5</f>
        <v>5.0499999999999989E-2</v>
      </c>
      <c r="U766">
        <f>I766*0.7+M766*-0.25+D766*-0.25</f>
        <v>0.18345</v>
      </c>
      <c r="V766">
        <f>J766*0.5+I766*-0.5</f>
        <v>-6.4500000000000002E-2</v>
      </c>
      <c r="W766">
        <f>M766*0.5+G766*0.25+I766*0.25</f>
        <v>0.61775000000000002</v>
      </c>
    </row>
    <row r="767" spans="1:23" x14ac:dyDescent="0.2">
      <c r="A767">
        <v>0.161</v>
      </c>
      <c r="B767">
        <v>5</v>
      </c>
      <c r="C767">
        <v>4</v>
      </c>
      <c r="D767">
        <v>0.187</v>
      </c>
      <c r="E767">
        <v>-3.7349999999999999</v>
      </c>
      <c r="F767">
        <v>196093</v>
      </c>
      <c r="G767">
        <v>0.54200000000000004</v>
      </c>
      <c r="H767">
        <v>195</v>
      </c>
      <c r="I767">
        <v>0.71799999999999997</v>
      </c>
      <c r="J767">
        <v>0.107</v>
      </c>
      <c r="K767" t="s">
        <v>1863</v>
      </c>
      <c r="L767">
        <v>20</v>
      </c>
      <c r="M767">
        <v>0.81899999999999995</v>
      </c>
      <c r="N767">
        <v>175.71100000000001</v>
      </c>
      <c r="O767">
        <v>0</v>
      </c>
      <c r="P767">
        <v>1</v>
      </c>
      <c r="Q767">
        <v>16</v>
      </c>
      <c r="R767" t="s">
        <v>1864</v>
      </c>
      <c r="S767" t="s">
        <v>1865</v>
      </c>
      <c r="T767">
        <f>I767*-0.5+M767*0.5</f>
        <v>5.0499999999999989E-2</v>
      </c>
      <c r="U767">
        <f>I767*0.7+M767*-0.25+D767*-0.25</f>
        <v>0.25109999999999993</v>
      </c>
      <c r="V767">
        <f>J767*0.5+I767*-0.5</f>
        <v>-0.30549999999999999</v>
      </c>
      <c r="W767">
        <f>M767*0.5+G767*0.25+I767*0.25</f>
        <v>0.72449999999999992</v>
      </c>
    </row>
    <row r="768" spans="1:23" x14ac:dyDescent="0.2">
      <c r="A768">
        <v>0.17499999999999999</v>
      </c>
      <c r="B768">
        <v>1</v>
      </c>
      <c r="C768">
        <v>4</v>
      </c>
      <c r="D768">
        <v>0.36899999999999999</v>
      </c>
      <c r="E768">
        <v>-5.2519999999999998</v>
      </c>
      <c r="F768">
        <v>229573</v>
      </c>
      <c r="G768">
        <v>0.62</v>
      </c>
      <c r="H768">
        <v>228</v>
      </c>
      <c r="I768">
        <v>0.76900000000000002</v>
      </c>
      <c r="J768">
        <v>1.8100000000000002E-2</v>
      </c>
      <c r="K768" t="s">
        <v>1434</v>
      </c>
      <c r="L768">
        <v>38</v>
      </c>
      <c r="M768">
        <v>0.86899999999999999</v>
      </c>
      <c r="N768">
        <v>151.684</v>
      </c>
      <c r="O768">
        <v>0</v>
      </c>
      <c r="P768">
        <v>1</v>
      </c>
      <c r="Q768">
        <v>7</v>
      </c>
      <c r="R768" t="s">
        <v>1435</v>
      </c>
      <c r="S768" t="s">
        <v>1436</v>
      </c>
      <c r="T768">
        <f>I768*-0.5+M768*0.5</f>
        <v>4.9999999999999989E-2</v>
      </c>
      <c r="U768">
        <f>I768*0.7+M768*-0.25+D768*-0.25</f>
        <v>0.2288</v>
      </c>
      <c r="V768">
        <f>J768*0.5+I768*-0.5</f>
        <v>-0.37545000000000001</v>
      </c>
      <c r="W768">
        <f>M768*0.5+G768*0.25+I768*0.25</f>
        <v>0.78175000000000006</v>
      </c>
    </row>
    <row r="769" spans="1:23" x14ac:dyDescent="0.2">
      <c r="A769">
        <v>4.1799999999999997E-2</v>
      </c>
      <c r="B769">
        <v>10</v>
      </c>
      <c r="C769">
        <v>4</v>
      </c>
      <c r="D769">
        <v>0.10299999999999999</v>
      </c>
      <c r="E769">
        <v>-6.165</v>
      </c>
      <c r="F769">
        <v>246427</v>
      </c>
      <c r="G769">
        <v>0.69499999999999995</v>
      </c>
      <c r="H769">
        <v>245</v>
      </c>
      <c r="I769">
        <v>0.84499999999999997</v>
      </c>
      <c r="J769">
        <v>3.4099999999999998E-3</v>
      </c>
      <c r="K769" t="s">
        <v>1198</v>
      </c>
      <c r="L769">
        <v>4</v>
      </c>
      <c r="M769">
        <v>0.94499999999999995</v>
      </c>
      <c r="N769">
        <v>125.01300000000001</v>
      </c>
      <c r="O769">
        <v>7.2700000000000001E-2</v>
      </c>
      <c r="P769">
        <v>0</v>
      </c>
      <c r="Q769">
        <v>11</v>
      </c>
      <c r="R769" t="s">
        <v>1199</v>
      </c>
      <c r="S769" t="s">
        <v>1200</v>
      </c>
      <c r="T769">
        <f>I769*-0.5+M769*0.5</f>
        <v>4.9999999999999989E-2</v>
      </c>
      <c r="U769">
        <f>I769*0.7+M769*-0.25+D769*-0.25</f>
        <v>0.32949999999999996</v>
      </c>
      <c r="V769">
        <f>J769*0.5+I769*-0.5</f>
        <v>-0.42079499999999997</v>
      </c>
      <c r="W769">
        <f>M769*0.5+G769*0.25+I769*0.25</f>
        <v>0.85749999999999993</v>
      </c>
    </row>
    <row r="770" spans="1:23" x14ac:dyDescent="0.2">
      <c r="A770">
        <v>0.111</v>
      </c>
      <c r="B770">
        <v>0</v>
      </c>
      <c r="C770">
        <v>4</v>
      </c>
      <c r="D770">
        <v>0.28599999999999998</v>
      </c>
      <c r="E770">
        <v>-9.907</v>
      </c>
      <c r="F770">
        <v>197467</v>
      </c>
      <c r="G770">
        <v>0.95499999999999996</v>
      </c>
      <c r="H770">
        <v>195</v>
      </c>
      <c r="I770">
        <v>0.57399999999999995</v>
      </c>
      <c r="J770">
        <v>8.4999999999999995E-4</v>
      </c>
      <c r="K770" t="s">
        <v>1768</v>
      </c>
      <c r="L770">
        <v>59</v>
      </c>
      <c r="M770">
        <v>0.67300000000000004</v>
      </c>
      <c r="N770">
        <v>102.491</v>
      </c>
      <c r="O770">
        <v>4.7399999999999997E-4</v>
      </c>
      <c r="P770">
        <v>1</v>
      </c>
      <c r="Q770">
        <v>22</v>
      </c>
      <c r="R770" t="s">
        <v>1769</v>
      </c>
      <c r="S770" t="s">
        <v>1770</v>
      </c>
      <c r="T770">
        <f>I770*-0.5+M770*0.5</f>
        <v>4.9500000000000044E-2</v>
      </c>
      <c r="U770">
        <f>I770*0.7+M770*-0.25+D770*-0.25</f>
        <v>0.16204999999999992</v>
      </c>
      <c r="V770">
        <f>J770*0.5+I770*-0.5</f>
        <v>-0.28657499999999997</v>
      </c>
      <c r="W770">
        <f>M770*0.5+G770*0.25+I770*0.25</f>
        <v>0.71875</v>
      </c>
    </row>
    <row r="771" spans="1:23" x14ac:dyDescent="0.2">
      <c r="A771">
        <v>0.26600000000000001</v>
      </c>
      <c r="B771">
        <v>2</v>
      </c>
      <c r="C771">
        <v>4</v>
      </c>
      <c r="D771">
        <v>0.28000000000000003</v>
      </c>
      <c r="E771">
        <v>-3.96</v>
      </c>
      <c r="F771">
        <v>296187</v>
      </c>
      <c r="G771">
        <v>0.80700000000000005</v>
      </c>
      <c r="H771">
        <v>224</v>
      </c>
      <c r="I771">
        <v>0.59399999999999997</v>
      </c>
      <c r="J771">
        <v>8.9399999999999993E-2</v>
      </c>
      <c r="K771" t="s">
        <v>1999</v>
      </c>
      <c r="L771">
        <v>15</v>
      </c>
      <c r="M771">
        <v>0.69299999999999995</v>
      </c>
      <c r="N771">
        <v>112.977</v>
      </c>
      <c r="O771">
        <v>0</v>
      </c>
      <c r="P771">
        <v>1</v>
      </c>
      <c r="Q771">
        <v>7</v>
      </c>
      <c r="R771" t="s">
        <v>491</v>
      </c>
      <c r="S771" t="s">
        <v>2000</v>
      </c>
      <c r="T771">
        <f>I771*-0.5+M771*0.5</f>
        <v>4.9499999999999988E-2</v>
      </c>
      <c r="U771">
        <f>I771*0.7+M771*-0.25+D771*-0.25</f>
        <v>0.17254999999999995</v>
      </c>
      <c r="V771">
        <f>J771*0.5+I771*-0.5</f>
        <v>-0.25229999999999997</v>
      </c>
      <c r="W771">
        <f>M771*0.5+G771*0.25+I771*0.25</f>
        <v>0.69674999999999998</v>
      </c>
    </row>
    <row r="772" spans="1:23" x14ac:dyDescent="0.2">
      <c r="A772">
        <v>4.4999999999999998E-2</v>
      </c>
      <c r="B772">
        <v>9</v>
      </c>
      <c r="C772">
        <v>4</v>
      </c>
      <c r="D772">
        <v>0.13300000000000001</v>
      </c>
      <c r="E772">
        <v>-4.2610000000000001</v>
      </c>
      <c r="F772">
        <v>181533</v>
      </c>
      <c r="G772">
        <v>0.72499999999999998</v>
      </c>
      <c r="H772">
        <v>179</v>
      </c>
      <c r="I772">
        <v>0.65400000000000003</v>
      </c>
      <c r="J772">
        <v>0.11</v>
      </c>
      <c r="K772" t="s">
        <v>1969</v>
      </c>
      <c r="L772">
        <v>37</v>
      </c>
      <c r="M772">
        <v>0.753</v>
      </c>
      <c r="N772">
        <v>93.004000000000005</v>
      </c>
      <c r="O772">
        <v>0</v>
      </c>
      <c r="P772">
        <v>1</v>
      </c>
      <c r="Q772">
        <v>18</v>
      </c>
      <c r="R772" t="s">
        <v>1970</v>
      </c>
      <c r="S772" t="s">
        <v>1971</v>
      </c>
      <c r="T772">
        <f>I772*-0.5+M772*0.5</f>
        <v>4.9499999999999988E-2</v>
      </c>
      <c r="U772">
        <f>I772*0.7+M772*-0.25+D772*-0.25</f>
        <v>0.23629999999999995</v>
      </c>
      <c r="V772">
        <f>J772*0.5+I772*-0.5</f>
        <v>-0.27200000000000002</v>
      </c>
      <c r="W772">
        <f>M772*0.5+G772*0.25+I772*0.25</f>
        <v>0.72124999999999995</v>
      </c>
    </row>
    <row r="773" spans="1:23" x14ac:dyDescent="0.2">
      <c r="A773">
        <v>6.9400000000000003E-2</v>
      </c>
      <c r="B773">
        <v>8</v>
      </c>
      <c r="C773">
        <v>4</v>
      </c>
      <c r="D773">
        <v>4.5400000000000003E-2</v>
      </c>
      <c r="E773">
        <v>-3.3180000000000001</v>
      </c>
      <c r="F773">
        <v>189335</v>
      </c>
      <c r="G773">
        <v>0.71599999999999997</v>
      </c>
      <c r="H773">
        <v>188</v>
      </c>
      <c r="I773">
        <v>0.77</v>
      </c>
      <c r="J773">
        <v>2.9399999999999999E-2</v>
      </c>
      <c r="K773" t="s">
        <v>1475</v>
      </c>
      <c r="L773">
        <v>52</v>
      </c>
      <c r="M773">
        <v>0.86899999999999999</v>
      </c>
      <c r="N773">
        <v>113.027</v>
      </c>
      <c r="O773">
        <v>0</v>
      </c>
      <c r="P773">
        <v>1</v>
      </c>
      <c r="Q773">
        <v>20</v>
      </c>
      <c r="R773" t="s">
        <v>1476</v>
      </c>
      <c r="S773" t="s">
        <v>1477</v>
      </c>
      <c r="T773">
        <f>I773*-0.5+M773*0.5</f>
        <v>4.9499999999999988E-2</v>
      </c>
      <c r="U773">
        <f>I773*0.7+M773*-0.25+D773*-0.25</f>
        <v>0.3103999999999999</v>
      </c>
      <c r="V773">
        <f>J773*0.5+I773*-0.5</f>
        <v>-0.37030000000000002</v>
      </c>
      <c r="W773">
        <f>M773*0.5+G773*0.25+I773*0.25</f>
        <v>0.80599999999999994</v>
      </c>
    </row>
    <row r="774" spans="1:23" x14ac:dyDescent="0.2">
      <c r="A774">
        <v>2.8799999999999999E-2</v>
      </c>
      <c r="B774">
        <v>2</v>
      </c>
      <c r="C774">
        <v>4</v>
      </c>
      <c r="D774">
        <v>0.10299999999999999</v>
      </c>
      <c r="E774">
        <v>-7.694</v>
      </c>
      <c r="F774">
        <v>233280</v>
      </c>
      <c r="G774">
        <v>0.502</v>
      </c>
      <c r="H774">
        <v>230</v>
      </c>
      <c r="I774">
        <v>0.33200000000000002</v>
      </c>
      <c r="J774">
        <v>0.83799999999999997</v>
      </c>
      <c r="K774" t="s">
        <v>3099</v>
      </c>
      <c r="L774">
        <v>26</v>
      </c>
      <c r="M774">
        <v>0.43</v>
      </c>
      <c r="N774">
        <v>103.804</v>
      </c>
      <c r="O774" s="1">
        <v>1.9800000000000001E-6</v>
      </c>
      <c r="P774">
        <v>1</v>
      </c>
      <c r="Q774">
        <v>15</v>
      </c>
      <c r="R774" t="s">
        <v>3100</v>
      </c>
      <c r="S774" t="s">
        <v>3101</v>
      </c>
      <c r="T774">
        <f>I774*-0.5+M774*0.5</f>
        <v>4.8999999999999988E-2</v>
      </c>
      <c r="U774">
        <f>I774*0.7+M774*-0.25+D774*-0.25</f>
        <v>9.9150000000000002E-2</v>
      </c>
      <c r="V774">
        <f>J774*0.5+I774*-0.5</f>
        <v>0.253</v>
      </c>
      <c r="W774">
        <f>M774*0.5+G774*0.25+I774*0.25</f>
        <v>0.42350000000000004</v>
      </c>
    </row>
    <row r="775" spans="1:23" x14ac:dyDescent="0.2">
      <c r="A775">
        <v>3.4500000000000003E-2</v>
      </c>
      <c r="B775">
        <v>4</v>
      </c>
      <c r="C775">
        <v>4</v>
      </c>
      <c r="D775">
        <v>8.6099999999999996E-2</v>
      </c>
      <c r="E775">
        <v>-7.1239999999999997</v>
      </c>
      <c r="F775">
        <v>276000</v>
      </c>
      <c r="G775">
        <v>0.746</v>
      </c>
      <c r="H775">
        <v>278</v>
      </c>
      <c r="I775">
        <v>0.51700000000000002</v>
      </c>
      <c r="J775">
        <v>0.191</v>
      </c>
      <c r="K775" t="s">
        <v>2360</v>
      </c>
      <c r="L775">
        <v>3</v>
      </c>
      <c r="M775">
        <v>0.61499999999999999</v>
      </c>
      <c r="N775">
        <v>120.04900000000001</v>
      </c>
      <c r="O775">
        <v>0</v>
      </c>
      <c r="P775">
        <v>0</v>
      </c>
      <c r="Q775">
        <v>16</v>
      </c>
      <c r="R775" t="s">
        <v>2361</v>
      </c>
      <c r="S775" t="s">
        <v>2362</v>
      </c>
      <c r="T775">
        <f>I775*-0.5+M775*0.5</f>
        <v>4.8999999999999988E-2</v>
      </c>
      <c r="U775">
        <f>I775*0.7+M775*-0.25+D775*-0.25</f>
        <v>0.18662500000000001</v>
      </c>
      <c r="V775">
        <f>J775*0.5+I775*-0.5</f>
        <v>-0.16300000000000001</v>
      </c>
      <c r="W775">
        <f>M775*0.5+G775*0.25+I775*0.25</f>
        <v>0.62324999999999997</v>
      </c>
    </row>
    <row r="776" spans="1:23" x14ac:dyDescent="0.2">
      <c r="A776">
        <v>0.13100000000000001</v>
      </c>
      <c r="B776">
        <v>7</v>
      </c>
      <c r="C776">
        <v>4</v>
      </c>
      <c r="D776">
        <v>0.33400000000000002</v>
      </c>
      <c r="E776">
        <v>-7.4969999999999999</v>
      </c>
      <c r="F776">
        <v>171093</v>
      </c>
      <c r="G776">
        <v>0.76600000000000001</v>
      </c>
      <c r="H776">
        <v>168</v>
      </c>
      <c r="I776">
        <v>0.60299999999999998</v>
      </c>
      <c r="J776">
        <v>1.3599999999999999E-2</v>
      </c>
      <c r="K776" t="s">
        <v>1765</v>
      </c>
      <c r="L776">
        <v>2</v>
      </c>
      <c r="M776">
        <v>0.70099999999999996</v>
      </c>
      <c r="N776">
        <v>95.623999999999995</v>
      </c>
      <c r="O776">
        <v>3.8400000000000001E-4</v>
      </c>
      <c r="P776">
        <v>1</v>
      </c>
      <c r="Q776">
        <v>15</v>
      </c>
      <c r="R776" t="s">
        <v>1766</v>
      </c>
      <c r="S776" t="s">
        <v>1767</v>
      </c>
      <c r="T776">
        <f>I776*-0.5+M776*0.5</f>
        <v>4.8999999999999988E-2</v>
      </c>
      <c r="U776">
        <f>I776*0.7+M776*-0.25+D776*-0.25</f>
        <v>0.16335</v>
      </c>
      <c r="V776">
        <f>J776*0.5+I776*-0.5</f>
        <v>-0.29470000000000002</v>
      </c>
      <c r="W776">
        <f>M776*0.5+G776*0.25+I776*0.25</f>
        <v>0.69274999999999998</v>
      </c>
    </row>
    <row r="777" spans="1:23" x14ac:dyDescent="0.2">
      <c r="A777">
        <v>0.26400000000000001</v>
      </c>
      <c r="B777">
        <v>1</v>
      </c>
      <c r="C777">
        <v>4</v>
      </c>
      <c r="D777">
        <v>0.14000000000000001</v>
      </c>
      <c r="E777">
        <v>-4.0739999999999998</v>
      </c>
      <c r="F777">
        <v>329627</v>
      </c>
      <c r="G777">
        <v>0.69</v>
      </c>
      <c r="H777">
        <v>238</v>
      </c>
      <c r="I777">
        <v>0.77900000000000003</v>
      </c>
      <c r="J777">
        <v>0.25700000000000001</v>
      </c>
      <c r="K777" t="s">
        <v>2194</v>
      </c>
      <c r="L777">
        <v>20</v>
      </c>
      <c r="M777">
        <v>0.877</v>
      </c>
      <c r="N777">
        <v>92.165000000000006</v>
      </c>
      <c r="O777">
        <v>0</v>
      </c>
      <c r="P777">
        <v>0</v>
      </c>
      <c r="Q777">
        <v>5</v>
      </c>
      <c r="R777" t="s">
        <v>2195</v>
      </c>
      <c r="S777" t="s">
        <v>2196</v>
      </c>
      <c r="T777">
        <f>I777*-0.5+M777*0.5</f>
        <v>4.8999999999999988E-2</v>
      </c>
      <c r="U777">
        <f>I777*0.7+M777*-0.25+D777*-0.25</f>
        <v>0.29105000000000003</v>
      </c>
      <c r="V777">
        <f>J777*0.5+I777*-0.5</f>
        <v>-0.26100000000000001</v>
      </c>
      <c r="W777">
        <f>M777*0.5+G777*0.25+I777*0.25</f>
        <v>0.80574999999999997</v>
      </c>
    </row>
    <row r="778" spans="1:23" x14ac:dyDescent="0.2">
      <c r="A778">
        <v>5.0200000000000002E-2</v>
      </c>
      <c r="B778">
        <v>10</v>
      </c>
      <c r="C778">
        <v>4</v>
      </c>
      <c r="D778">
        <v>0.16400000000000001</v>
      </c>
      <c r="E778">
        <v>-6.0650000000000004</v>
      </c>
      <c r="F778">
        <v>242373</v>
      </c>
      <c r="G778">
        <v>0.81100000000000005</v>
      </c>
      <c r="H778">
        <v>220</v>
      </c>
      <c r="I778">
        <v>0.872</v>
      </c>
      <c r="J778">
        <v>5.2600000000000001E-2</v>
      </c>
      <c r="K778" t="s">
        <v>1340</v>
      </c>
      <c r="L778">
        <v>23</v>
      </c>
      <c r="M778">
        <v>0.97</v>
      </c>
      <c r="N778">
        <v>114.351</v>
      </c>
      <c r="O778" s="1">
        <v>6.6299999999999999E-5</v>
      </c>
      <c r="P778">
        <v>0</v>
      </c>
      <c r="Q778">
        <v>2</v>
      </c>
      <c r="R778" t="s">
        <v>1341</v>
      </c>
      <c r="S778" t="s">
        <v>1342</v>
      </c>
      <c r="T778">
        <f>I778*-0.5+M778*0.5</f>
        <v>4.8999999999999988E-2</v>
      </c>
      <c r="U778">
        <f>I778*0.7+M778*-0.25+D778*-0.25</f>
        <v>0.32689999999999997</v>
      </c>
      <c r="V778">
        <f>J778*0.5+I778*-0.5</f>
        <v>-0.40970000000000001</v>
      </c>
      <c r="W778">
        <f>M778*0.5+G778*0.25+I778*0.25</f>
        <v>0.90574999999999994</v>
      </c>
    </row>
    <row r="779" spans="1:23" x14ac:dyDescent="0.2">
      <c r="A779">
        <v>2.4E-2</v>
      </c>
      <c r="B779">
        <v>5</v>
      </c>
      <c r="C779">
        <v>4</v>
      </c>
      <c r="D779">
        <v>0.13800000000000001</v>
      </c>
      <c r="E779">
        <v>-6.86</v>
      </c>
      <c r="F779">
        <v>220286</v>
      </c>
      <c r="G779">
        <v>0.68600000000000005</v>
      </c>
      <c r="H779">
        <v>217</v>
      </c>
      <c r="I779">
        <v>0.70099999999999996</v>
      </c>
      <c r="J779">
        <v>9.1400000000000006E-3</v>
      </c>
      <c r="K779" t="s">
        <v>1566</v>
      </c>
      <c r="L779">
        <v>43</v>
      </c>
      <c r="M779">
        <v>0.79800000000000004</v>
      </c>
      <c r="N779">
        <v>96.028999999999996</v>
      </c>
      <c r="O779">
        <v>0.42199999999999999</v>
      </c>
      <c r="P779">
        <v>0</v>
      </c>
      <c r="Q779">
        <v>18</v>
      </c>
      <c r="R779" t="s">
        <v>1567</v>
      </c>
      <c r="S779" t="s">
        <v>1568</v>
      </c>
      <c r="T779">
        <f>I779*-0.5+M779*0.5</f>
        <v>4.8500000000000043E-2</v>
      </c>
      <c r="U779">
        <f>I779*0.7+M779*-0.25+D779*-0.25</f>
        <v>0.25669999999999993</v>
      </c>
      <c r="V779">
        <f>J779*0.5+I779*-0.5</f>
        <v>-0.34592999999999996</v>
      </c>
      <c r="W779">
        <f>M779*0.5+G779*0.25+I779*0.25</f>
        <v>0.74575000000000002</v>
      </c>
    </row>
    <row r="780" spans="1:23" x14ac:dyDescent="0.2">
      <c r="A780">
        <v>3.5799999999999998E-2</v>
      </c>
      <c r="B780">
        <v>9</v>
      </c>
      <c r="C780">
        <v>4</v>
      </c>
      <c r="D780">
        <v>7.8899999999999998E-2</v>
      </c>
      <c r="E780">
        <v>-4.3449999999999998</v>
      </c>
      <c r="F780">
        <v>221373</v>
      </c>
      <c r="G780">
        <v>0.59099999999999997</v>
      </c>
      <c r="H780">
        <v>217</v>
      </c>
      <c r="I780">
        <v>0.78400000000000003</v>
      </c>
      <c r="J780">
        <v>0.04</v>
      </c>
      <c r="K780" t="s">
        <v>1516</v>
      </c>
      <c r="L780">
        <v>36</v>
      </c>
      <c r="M780">
        <v>0.88100000000000001</v>
      </c>
      <c r="N780">
        <v>92.278000000000006</v>
      </c>
      <c r="O780">
        <v>2.8700000000000002E-3</v>
      </c>
      <c r="P780">
        <v>1</v>
      </c>
      <c r="Q780">
        <v>18</v>
      </c>
      <c r="R780" t="s">
        <v>1517</v>
      </c>
      <c r="S780" t="s">
        <v>1518</v>
      </c>
      <c r="T780">
        <f>I780*-0.5+M780*0.5</f>
        <v>4.8499999999999988E-2</v>
      </c>
      <c r="U780">
        <f>I780*0.7+M780*-0.25+D780*-0.25</f>
        <v>0.30882499999999996</v>
      </c>
      <c r="V780">
        <f>J780*0.5+I780*-0.5</f>
        <v>-0.372</v>
      </c>
      <c r="W780">
        <f>M780*0.5+G780*0.25+I780*0.25</f>
        <v>0.78424999999999989</v>
      </c>
    </row>
    <row r="781" spans="1:23" x14ac:dyDescent="0.2">
      <c r="A781">
        <v>2.6700000000000002E-2</v>
      </c>
      <c r="B781">
        <v>7</v>
      </c>
      <c r="C781">
        <v>3</v>
      </c>
      <c r="D781">
        <v>0.16900000000000001</v>
      </c>
      <c r="E781">
        <v>-7.7030000000000003</v>
      </c>
      <c r="F781">
        <v>195493</v>
      </c>
      <c r="G781">
        <v>0.46100000000000002</v>
      </c>
      <c r="H781">
        <v>207</v>
      </c>
      <c r="I781">
        <v>0.35</v>
      </c>
      <c r="J781">
        <v>0.1</v>
      </c>
      <c r="K781" t="s">
        <v>2357</v>
      </c>
      <c r="L781">
        <v>20</v>
      </c>
      <c r="M781">
        <v>0.44600000000000001</v>
      </c>
      <c r="N781">
        <v>139.86799999999999</v>
      </c>
      <c r="O781">
        <v>0</v>
      </c>
      <c r="P781">
        <v>1</v>
      </c>
      <c r="Q781">
        <v>18</v>
      </c>
      <c r="R781" t="s">
        <v>128</v>
      </c>
      <c r="S781" t="s">
        <v>1433</v>
      </c>
      <c r="T781">
        <f>I781*-0.5+M781*0.5</f>
        <v>4.8000000000000015E-2</v>
      </c>
      <c r="U781">
        <f>I781*0.7+M781*-0.25+D781*-0.25</f>
        <v>9.1249999999999942E-2</v>
      </c>
      <c r="V781">
        <f>J781*0.5+I781*-0.5</f>
        <v>-0.12499999999999999</v>
      </c>
      <c r="W781">
        <f>M781*0.5+G781*0.25+I781*0.25</f>
        <v>0.42574999999999996</v>
      </c>
    </row>
    <row r="782" spans="1:23" x14ac:dyDescent="0.2">
      <c r="A782">
        <v>2.8899999999999999E-2</v>
      </c>
      <c r="B782">
        <v>5</v>
      </c>
      <c r="C782">
        <v>4</v>
      </c>
      <c r="D782">
        <v>0.115</v>
      </c>
      <c r="E782">
        <v>-8.0050000000000008</v>
      </c>
      <c r="F782">
        <v>236627</v>
      </c>
      <c r="G782">
        <v>0.51500000000000001</v>
      </c>
      <c r="H782">
        <v>246</v>
      </c>
      <c r="I782">
        <v>0.20399999999999999</v>
      </c>
      <c r="J782">
        <v>0.57499999999999996</v>
      </c>
      <c r="K782" t="s">
        <v>3060</v>
      </c>
      <c r="L782">
        <v>34</v>
      </c>
      <c r="M782">
        <v>0.3</v>
      </c>
      <c r="N782">
        <v>81.12</v>
      </c>
      <c r="O782" s="1">
        <v>8.4600000000000003E-6</v>
      </c>
      <c r="P782">
        <v>1</v>
      </c>
      <c r="Q782">
        <v>16</v>
      </c>
      <c r="R782" t="s">
        <v>3061</v>
      </c>
      <c r="S782" t="s">
        <v>3062</v>
      </c>
      <c r="T782">
        <f>I782*-0.5+M782*0.5</f>
        <v>4.8000000000000001E-2</v>
      </c>
      <c r="U782">
        <f>I782*0.7+M782*-0.25+D782*-0.25</f>
        <v>3.9049999999999987E-2</v>
      </c>
      <c r="V782">
        <f>J782*0.5+I782*-0.5</f>
        <v>0.1855</v>
      </c>
      <c r="W782">
        <f>M782*0.5+G782*0.25+I782*0.25</f>
        <v>0.32974999999999999</v>
      </c>
    </row>
    <row r="783" spans="1:23" x14ac:dyDescent="0.2">
      <c r="A783">
        <v>6.4399999999999999E-2</v>
      </c>
      <c r="B783">
        <v>7</v>
      </c>
      <c r="C783">
        <v>4</v>
      </c>
      <c r="D783">
        <v>0.10299999999999999</v>
      </c>
      <c r="E783">
        <v>-4.048</v>
      </c>
      <c r="F783">
        <v>198840</v>
      </c>
      <c r="G783">
        <v>0.752</v>
      </c>
      <c r="H783">
        <v>199</v>
      </c>
      <c r="I783">
        <v>0.51300000000000001</v>
      </c>
      <c r="J783">
        <v>0.38400000000000001</v>
      </c>
      <c r="K783" t="s">
        <v>2760</v>
      </c>
      <c r="L783">
        <v>34</v>
      </c>
      <c r="M783">
        <v>0.60899999999999999</v>
      </c>
      <c r="N783">
        <v>91.912999999999997</v>
      </c>
      <c r="O783">
        <v>0</v>
      </c>
      <c r="P783">
        <v>1</v>
      </c>
      <c r="Q783">
        <v>20</v>
      </c>
      <c r="R783" t="s">
        <v>2761</v>
      </c>
      <c r="S783" t="s">
        <v>2762</v>
      </c>
      <c r="T783">
        <f>I783*-0.5+M783*0.5</f>
        <v>4.7999999999999987E-2</v>
      </c>
      <c r="U783">
        <f>I783*0.7+M783*-0.25+D783*-0.25</f>
        <v>0.18109999999999998</v>
      </c>
      <c r="V783">
        <f>J783*0.5+I783*-0.5</f>
        <v>-6.4500000000000002E-2</v>
      </c>
      <c r="W783">
        <f>M783*0.5+G783*0.25+I783*0.25</f>
        <v>0.62075000000000002</v>
      </c>
    </row>
    <row r="784" spans="1:23" x14ac:dyDescent="0.2">
      <c r="A784">
        <v>3.2599999999999997E-2</v>
      </c>
      <c r="B784">
        <v>10</v>
      </c>
      <c r="C784">
        <v>4</v>
      </c>
      <c r="D784">
        <v>0.376</v>
      </c>
      <c r="E784">
        <v>-11.223000000000001</v>
      </c>
      <c r="F784">
        <v>275133</v>
      </c>
      <c r="G784">
        <v>0.72499999999999998</v>
      </c>
      <c r="H784">
        <v>215</v>
      </c>
      <c r="I784">
        <v>0.52600000000000002</v>
      </c>
      <c r="J784">
        <v>3.7999999999999999E-2</v>
      </c>
      <c r="K784" t="s">
        <v>1964</v>
      </c>
      <c r="L784">
        <v>21</v>
      </c>
      <c r="M784">
        <v>0.622</v>
      </c>
      <c r="N784">
        <v>106.596</v>
      </c>
      <c r="O784">
        <v>1.3599999999999999E-2</v>
      </c>
      <c r="P784">
        <v>1</v>
      </c>
      <c r="Q784">
        <v>9</v>
      </c>
      <c r="R784" t="s">
        <v>1965</v>
      </c>
      <c r="S784" t="s">
        <v>1966</v>
      </c>
      <c r="T784">
        <f>I784*-0.5+M784*0.5</f>
        <v>4.7999999999999987E-2</v>
      </c>
      <c r="U784">
        <f>I784*0.7+M784*-0.25+D784*-0.25</f>
        <v>0.11869999999999997</v>
      </c>
      <c r="V784">
        <f>J784*0.5+I784*-0.5</f>
        <v>-0.24400000000000002</v>
      </c>
      <c r="W784">
        <f>M784*0.5+G784*0.25+I784*0.25</f>
        <v>0.62375000000000003</v>
      </c>
    </row>
    <row r="785" spans="1:23" x14ac:dyDescent="0.2">
      <c r="A785">
        <v>0.3</v>
      </c>
      <c r="B785">
        <v>6</v>
      </c>
      <c r="C785">
        <v>4</v>
      </c>
      <c r="D785">
        <v>0.10100000000000001</v>
      </c>
      <c r="E785">
        <v>-13.4</v>
      </c>
      <c r="F785">
        <v>251034</v>
      </c>
      <c r="G785">
        <v>0.49199999999999999</v>
      </c>
      <c r="H785">
        <v>226</v>
      </c>
      <c r="I785">
        <v>0.18</v>
      </c>
      <c r="J785">
        <v>0.68700000000000006</v>
      </c>
      <c r="K785" t="s">
        <v>3091</v>
      </c>
      <c r="L785">
        <v>61</v>
      </c>
      <c r="M785">
        <v>0.27500000000000002</v>
      </c>
      <c r="N785">
        <v>92.6</v>
      </c>
      <c r="O785">
        <v>0</v>
      </c>
      <c r="P785">
        <v>0</v>
      </c>
      <c r="Q785">
        <v>16</v>
      </c>
      <c r="R785" t="s">
        <v>3092</v>
      </c>
      <c r="S785" t="s">
        <v>3093</v>
      </c>
      <c r="T785">
        <f>I785*-0.5+M785*0.5</f>
        <v>4.7500000000000014E-2</v>
      </c>
      <c r="U785">
        <f>I785*0.7+M785*-0.25+D785*-0.25</f>
        <v>3.1999999999999994E-2</v>
      </c>
      <c r="V785">
        <f>J785*0.5+I785*-0.5</f>
        <v>0.25350000000000006</v>
      </c>
      <c r="W785">
        <f>M785*0.5+G785*0.25+I785*0.25</f>
        <v>0.30549999999999999</v>
      </c>
    </row>
    <row r="786" spans="1:23" x14ac:dyDescent="0.2">
      <c r="A786">
        <v>4.3400000000000001E-2</v>
      </c>
      <c r="B786">
        <v>0</v>
      </c>
      <c r="C786">
        <v>3</v>
      </c>
      <c r="D786">
        <v>0.17699999999999999</v>
      </c>
      <c r="E786">
        <v>-7.2590000000000003</v>
      </c>
      <c r="F786">
        <v>225053</v>
      </c>
      <c r="G786">
        <v>0.63</v>
      </c>
      <c r="H786">
        <v>219</v>
      </c>
      <c r="I786">
        <v>0.435</v>
      </c>
      <c r="J786">
        <v>0.4</v>
      </c>
      <c r="K786" t="s">
        <v>2848</v>
      </c>
      <c r="L786">
        <v>56</v>
      </c>
      <c r="M786">
        <v>0.53</v>
      </c>
      <c r="N786">
        <v>108.038</v>
      </c>
      <c r="O786">
        <v>0</v>
      </c>
      <c r="P786">
        <v>1</v>
      </c>
      <c r="Q786">
        <v>13</v>
      </c>
      <c r="R786" t="s">
        <v>2849</v>
      </c>
      <c r="S786" t="s">
        <v>2850</v>
      </c>
      <c r="T786">
        <f>I786*-0.5+M786*0.5</f>
        <v>4.7500000000000014E-2</v>
      </c>
      <c r="U786">
        <f>I786*0.7+M786*-0.25+D786*-0.25</f>
        <v>0.12774999999999997</v>
      </c>
      <c r="V786">
        <f>J786*0.5+I786*-0.5</f>
        <v>-1.7499999999999988E-2</v>
      </c>
      <c r="W786">
        <f>M786*0.5+G786*0.25+I786*0.25</f>
        <v>0.53125</v>
      </c>
    </row>
    <row r="787" spans="1:23" x14ac:dyDescent="0.2">
      <c r="A787">
        <v>8.6999999999999994E-2</v>
      </c>
      <c r="B787">
        <v>0</v>
      </c>
      <c r="C787">
        <v>4</v>
      </c>
      <c r="D787">
        <v>0.32800000000000001</v>
      </c>
      <c r="E787">
        <v>-7.2279999999999998</v>
      </c>
      <c r="F787">
        <v>252973</v>
      </c>
      <c r="G787">
        <v>0.60599999999999998</v>
      </c>
      <c r="H787">
        <v>249</v>
      </c>
      <c r="I787">
        <v>0.496</v>
      </c>
      <c r="J787">
        <v>7.5600000000000001E-2</v>
      </c>
      <c r="K787" t="s">
        <v>2120</v>
      </c>
      <c r="L787">
        <v>25</v>
      </c>
      <c r="M787">
        <v>0.59099999999999997</v>
      </c>
      <c r="N787">
        <v>95.802000000000007</v>
      </c>
      <c r="O787">
        <v>0</v>
      </c>
      <c r="P787">
        <v>0</v>
      </c>
      <c r="Q787">
        <v>7</v>
      </c>
      <c r="R787" t="s">
        <v>998</v>
      </c>
      <c r="S787" t="s">
        <v>2121</v>
      </c>
      <c r="T787">
        <f>I787*-0.5+M787*0.5</f>
        <v>4.7499999999999987E-2</v>
      </c>
      <c r="U787">
        <f>I787*0.7+M787*-0.25+D787*-0.25</f>
        <v>0.11744999999999996</v>
      </c>
      <c r="V787">
        <f>J787*0.5+I787*-0.5</f>
        <v>-0.2102</v>
      </c>
      <c r="W787">
        <f>M787*0.5+G787*0.25+I787*0.25</f>
        <v>0.57099999999999995</v>
      </c>
    </row>
    <row r="788" spans="1:23" x14ac:dyDescent="0.2">
      <c r="A788">
        <v>0.13500000000000001</v>
      </c>
      <c r="B788">
        <v>1</v>
      </c>
      <c r="C788">
        <v>4</v>
      </c>
      <c r="D788">
        <v>4.6699999999999998E-2</v>
      </c>
      <c r="E788">
        <v>-6.2030000000000003</v>
      </c>
      <c r="F788">
        <v>223520</v>
      </c>
      <c r="G788">
        <v>0.873</v>
      </c>
      <c r="H788">
        <v>225</v>
      </c>
      <c r="I788">
        <v>0.77800000000000002</v>
      </c>
      <c r="J788">
        <v>5.5599999999999997E-2</v>
      </c>
      <c r="K788" t="s">
        <v>1605</v>
      </c>
      <c r="L788">
        <v>24</v>
      </c>
      <c r="M788">
        <v>0.873</v>
      </c>
      <c r="N788">
        <v>116.949</v>
      </c>
      <c r="O788">
        <v>8.7000000000000001E-4</v>
      </c>
      <c r="P788">
        <v>1</v>
      </c>
      <c r="Q788">
        <v>3</v>
      </c>
      <c r="R788" t="s">
        <v>1606</v>
      </c>
      <c r="S788" t="s">
        <v>1607</v>
      </c>
      <c r="T788">
        <f>I788*-0.5+M788*0.5</f>
        <v>4.7499999999999987E-2</v>
      </c>
      <c r="U788">
        <f>I788*0.7+M788*-0.25+D788*-0.25</f>
        <v>0.31467499999999998</v>
      </c>
      <c r="V788">
        <f>J788*0.5+I788*-0.5</f>
        <v>-0.36120000000000002</v>
      </c>
      <c r="W788">
        <f>M788*0.5+G788*0.25+I788*0.25</f>
        <v>0.84924999999999995</v>
      </c>
    </row>
    <row r="789" spans="1:23" x14ac:dyDescent="0.2">
      <c r="A789">
        <v>3.3000000000000002E-2</v>
      </c>
      <c r="B789">
        <v>5</v>
      </c>
      <c r="C789">
        <v>4</v>
      </c>
      <c r="D789">
        <v>0.251</v>
      </c>
      <c r="E789">
        <v>-4.2359999999999998</v>
      </c>
      <c r="F789">
        <v>218387</v>
      </c>
      <c r="G789">
        <v>0.746</v>
      </c>
      <c r="H789">
        <v>217</v>
      </c>
      <c r="I789">
        <v>0.51600000000000001</v>
      </c>
      <c r="J789">
        <v>7.8299999999999995E-2</v>
      </c>
      <c r="K789" t="s">
        <v>2095</v>
      </c>
      <c r="L789">
        <v>30</v>
      </c>
      <c r="M789">
        <v>0.61</v>
      </c>
      <c r="N789">
        <v>111.56699999999999</v>
      </c>
      <c r="O789">
        <v>0</v>
      </c>
      <c r="P789">
        <v>1</v>
      </c>
      <c r="Q789">
        <v>9</v>
      </c>
      <c r="R789" t="s">
        <v>723</v>
      </c>
      <c r="S789" t="s">
        <v>2096</v>
      </c>
      <c r="T789">
        <f>I789*-0.5+M789*0.5</f>
        <v>4.6999999999999986E-2</v>
      </c>
      <c r="U789">
        <f>I789*0.7+M789*-0.25+D789*-0.25</f>
        <v>0.14594999999999997</v>
      </c>
      <c r="V789">
        <f>J789*0.5+I789*-0.5</f>
        <v>-0.21885000000000002</v>
      </c>
      <c r="W789">
        <f>M789*0.5+G789*0.25+I789*0.25</f>
        <v>0.62050000000000005</v>
      </c>
    </row>
    <row r="790" spans="1:23" x14ac:dyDescent="0.2">
      <c r="A790">
        <v>0.29399999999999998</v>
      </c>
      <c r="B790">
        <v>10</v>
      </c>
      <c r="C790">
        <v>4</v>
      </c>
      <c r="D790">
        <v>2.8500000000000001E-2</v>
      </c>
      <c r="E790">
        <v>-6.0170000000000003</v>
      </c>
      <c r="F790">
        <v>238467</v>
      </c>
      <c r="G790">
        <v>0.88300000000000001</v>
      </c>
      <c r="H790">
        <v>216</v>
      </c>
      <c r="I790">
        <v>0.56599999999999995</v>
      </c>
      <c r="J790">
        <v>8.14E-2</v>
      </c>
      <c r="K790" t="s">
        <v>2038</v>
      </c>
      <c r="L790">
        <v>2</v>
      </c>
      <c r="M790">
        <v>0.65900000000000003</v>
      </c>
      <c r="N790">
        <v>77.03</v>
      </c>
      <c r="O790">
        <v>1.1900000000000001E-3</v>
      </c>
      <c r="P790">
        <v>0</v>
      </c>
      <c r="Q790">
        <v>17</v>
      </c>
      <c r="R790" t="s">
        <v>1906</v>
      </c>
      <c r="S790" t="s">
        <v>2039</v>
      </c>
      <c r="T790">
        <f>I790*-0.5+M790*0.5</f>
        <v>4.6500000000000041E-2</v>
      </c>
      <c r="U790">
        <f>I790*0.7+M790*-0.25+D790*-0.25</f>
        <v>0.22432499999999994</v>
      </c>
      <c r="V790">
        <f>J790*0.5+I790*-0.5</f>
        <v>-0.24229999999999996</v>
      </c>
      <c r="W790">
        <f>M790*0.5+G790*0.25+I790*0.25</f>
        <v>0.69174999999999998</v>
      </c>
    </row>
    <row r="791" spans="1:23" x14ac:dyDescent="0.2">
      <c r="A791">
        <v>3.5200000000000002E-2</v>
      </c>
      <c r="B791">
        <v>2</v>
      </c>
      <c r="C791">
        <v>4</v>
      </c>
      <c r="D791">
        <v>0.12</v>
      </c>
      <c r="E791">
        <v>-5.0679999999999996</v>
      </c>
      <c r="F791">
        <v>229413</v>
      </c>
      <c r="G791">
        <v>0.67700000000000005</v>
      </c>
      <c r="H791">
        <v>225</v>
      </c>
      <c r="I791">
        <v>0.64600000000000002</v>
      </c>
      <c r="J791">
        <v>0.32</v>
      </c>
      <c r="K791" t="s">
        <v>2525</v>
      </c>
      <c r="L791">
        <v>39</v>
      </c>
      <c r="M791">
        <v>0.73899999999999999</v>
      </c>
      <c r="N791">
        <v>127.04</v>
      </c>
      <c r="O791" s="1">
        <v>2.3599999999999999E-6</v>
      </c>
      <c r="P791">
        <v>1</v>
      </c>
      <c r="Q791">
        <v>15</v>
      </c>
      <c r="R791" t="s">
        <v>2227</v>
      </c>
      <c r="S791" t="s">
        <v>2526</v>
      </c>
      <c r="T791">
        <f>I791*-0.5+M791*0.5</f>
        <v>4.6499999999999986E-2</v>
      </c>
      <c r="U791">
        <f>I791*0.7+M791*-0.25+D791*-0.25</f>
        <v>0.23744999999999997</v>
      </c>
      <c r="V791">
        <f>J791*0.5+I791*-0.5</f>
        <v>-0.16300000000000001</v>
      </c>
      <c r="W791">
        <f>M791*0.5+G791*0.25+I791*0.25</f>
        <v>0.70025000000000004</v>
      </c>
    </row>
    <row r="792" spans="1:23" x14ac:dyDescent="0.2">
      <c r="A792">
        <v>0.33600000000000002</v>
      </c>
      <c r="B792">
        <v>8</v>
      </c>
      <c r="C792">
        <v>4</v>
      </c>
      <c r="D792">
        <v>6.3E-2</v>
      </c>
      <c r="E792">
        <v>-4.5030000000000001</v>
      </c>
      <c r="F792">
        <v>198237</v>
      </c>
      <c r="G792">
        <v>0.46400000000000002</v>
      </c>
      <c r="H792">
        <v>195</v>
      </c>
      <c r="I792">
        <v>0.67800000000000005</v>
      </c>
      <c r="J792">
        <v>2.35E-2</v>
      </c>
      <c r="K792" t="s">
        <v>1706</v>
      </c>
      <c r="L792">
        <v>59</v>
      </c>
      <c r="M792">
        <v>0.77100000000000002</v>
      </c>
      <c r="N792">
        <v>158.77699999999999</v>
      </c>
      <c r="O792">
        <v>0</v>
      </c>
      <c r="P792">
        <v>1</v>
      </c>
      <c r="Q792">
        <v>9</v>
      </c>
      <c r="R792" t="s">
        <v>1707</v>
      </c>
      <c r="S792" t="s">
        <v>1708</v>
      </c>
      <c r="T792">
        <f>I792*-0.5+M792*0.5</f>
        <v>4.6499999999999986E-2</v>
      </c>
      <c r="U792">
        <f>I792*0.7+M792*-0.25+D792*-0.25</f>
        <v>0.26610000000000006</v>
      </c>
      <c r="V792">
        <f>J792*0.5+I792*-0.5</f>
        <v>-0.32725000000000004</v>
      </c>
      <c r="W792">
        <f>M792*0.5+G792*0.25+I792*0.25</f>
        <v>0.67100000000000004</v>
      </c>
    </row>
    <row r="793" spans="1:23" x14ac:dyDescent="0.2">
      <c r="A793">
        <v>2.8299999999999999E-2</v>
      </c>
      <c r="B793">
        <v>5</v>
      </c>
      <c r="C793">
        <v>4</v>
      </c>
      <c r="D793">
        <v>9.2299999999999993E-2</v>
      </c>
      <c r="E793">
        <v>-5.4809999999999999</v>
      </c>
      <c r="F793">
        <v>240640</v>
      </c>
      <c r="G793">
        <v>0.64200000000000002</v>
      </c>
      <c r="H793">
        <v>240</v>
      </c>
      <c r="I793">
        <v>0.45600000000000002</v>
      </c>
      <c r="J793">
        <v>0.48699999999999999</v>
      </c>
      <c r="K793" t="s">
        <v>2923</v>
      </c>
      <c r="L793">
        <v>7</v>
      </c>
      <c r="M793">
        <v>0.54700000000000004</v>
      </c>
      <c r="N793">
        <v>122.95099999999999</v>
      </c>
      <c r="O793">
        <v>0</v>
      </c>
      <c r="P793">
        <v>1</v>
      </c>
      <c r="Q793">
        <v>15</v>
      </c>
      <c r="R793" t="s">
        <v>2924</v>
      </c>
      <c r="S793" t="s">
        <v>2925</v>
      </c>
      <c r="T793">
        <f>I793*-0.5+M793*0.5</f>
        <v>4.5500000000000013E-2</v>
      </c>
      <c r="U793">
        <f>I793*0.7+M793*-0.25+D793*-0.25</f>
        <v>0.15937499999999999</v>
      </c>
      <c r="V793">
        <f>J793*0.5+I793*-0.5</f>
        <v>1.5499999999999986E-2</v>
      </c>
      <c r="W793">
        <f>M793*0.5+G793*0.25+I793*0.25</f>
        <v>0.54800000000000004</v>
      </c>
    </row>
    <row r="794" spans="1:23" x14ac:dyDescent="0.2">
      <c r="A794">
        <v>2.86E-2</v>
      </c>
      <c r="B794">
        <v>2</v>
      </c>
      <c r="C794">
        <v>4</v>
      </c>
      <c r="D794">
        <v>0.17299999999999999</v>
      </c>
      <c r="E794">
        <v>-9.4779999999999998</v>
      </c>
      <c r="F794">
        <v>247680</v>
      </c>
      <c r="G794">
        <v>0.56599999999999995</v>
      </c>
      <c r="H794">
        <v>247</v>
      </c>
      <c r="I794">
        <v>0.33800000000000002</v>
      </c>
      <c r="J794">
        <v>0.45700000000000002</v>
      </c>
      <c r="K794" t="s">
        <v>2964</v>
      </c>
      <c r="L794">
        <v>32</v>
      </c>
      <c r="M794">
        <v>0.42899999999999999</v>
      </c>
      <c r="N794">
        <v>147.95699999999999</v>
      </c>
      <c r="O794" s="1">
        <v>3.3800000000000002E-5</v>
      </c>
      <c r="P794">
        <v>1</v>
      </c>
      <c r="Q794">
        <v>20</v>
      </c>
      <c r="R794" t="s">
        <v>802</v>
      </c>
      <c r="S794" t="s">
        <v>2965</v>
      </c>
      <c r="T794">
        <f>I794*-0.5+M794*0.5</f>
        <v>4.5499999999999985E-2</v>
      </c>
      <c r="U794">
        <f>I794*0.7+M794*-0.25+D794*-0.25</f>
        <v>8.6100000000000024E-2</v>
      </c>
      <c r="V794">
        <f>J794*0.5+I794*-0.5</f>
        <v>5.9499999999999997E-2</v>
      </c>
      <c r="W794">
        <f>M794*0.5+G794*0.25+I794*0.25</f>
        <v>0.4405</v>
      </c>
    </row>
    <row r="795" spans="1:23" x14ac:dyDescent="0.2">
      <c r="A795">
        <v>3.1399999999999997E-2</v>
      </c>
      <c r="B795">
        <v>11</v>
      </c>
      <c r="C795">
        <v>4</v>
      </c>
      <c r="D795">
        <v>0.109</v>
      </c>
      <c r="E795">
        <v>-6.391</v>
      </c>
      <c r="F795">
        <v>213983</v>
      </c>
      <c r="G795">
        <v>0.66600000000000004</v>
      </c>
      <c r="H795">
        <v>213</v>
      </c>
      <c r="I795">
        <v>0.56999999999999995</v>
      </c>
      <c r="J795">
        <v>1.72E-2</v>
      </c>
      <c r="K795" t="s">
        <v>1868</v>
      </c>
      <c r="L795">
        <v>47</v>
      </c>
      <c r="M795">
        <v>0.66</v>
      </c>
      <c r="N795">
        <v>109.056</v>
      </c>
      <c r="O795">
        <v>0</v>
      </c>
      <c r="P795">
        <v>0</v>
      </c>
      <c r="Q795">
        <v>19</v>
      </c>
      <c r="R795" t="s">
        <v>1869</v>
      </c>
      <c r="S795" t="s">
        <v>1870</v>
      </c>
      <c r="T795">
        <f>I795*-0.5+M795*0.5</f>
        <v>4.500000000000004E-2</v>
      </c>
      <c r="U795">
        <f>I795*0.7+M795*-0.25+D795*-0.25</f>
        <v>0.20674999999999996</v>
      </c>
      <c r="V795">
        <f>J795*0.5+I795*-0.5</f>
        <v>-0.27639999999999998</v>
      </c>
      <c r="W795">
        <f>M795*0.5+G795*0.25+I795*0.25</f>
        <v>0.63900000000000001</v>
      </c>
    </row>
    <row r="796" spans="1:23" x14ac:dyDescent="0.2">
      <c r="A796">
        <v>0.155</v>
      </c>
      <c r="B796">
        <v>6</v>
      </c>
      <c r="C796">
        <v>4</v>
      </c>
      <c r="D796">
        <v>7.46E-2</v>
      </c>
      <c r="E796">
        <v>-8.3889999999999993</v>
      </c>
      <c r="F796">
        <v>205640</v>
      </c>
      <c r="G796">
        <v>0.54700000000000004</v>
      </c>
      <c r="H796">
        <v>205</v>
      </c>
      <c r="I796">
        <v>0.504</v>
      </c>
      <c r="J796">
        <v>5.04E-2</v>
      </c>
      <c r="K796" t="s">
        <v>2065</v>
      </c>
      <c r="L796">
        <v>20</v>
      </c>
      <c r="M796">
        <v>0.59399999999999997</v>
      </c>
      <c r="N796">
        <v>81.900000000000006</v>
      </c>
      <c r="O796">
        <v>0</v>
      </c>
      <c r="P796">
        <v>1</v>
      </c>
      <c r="Q796">
        <v>6</v>
      </c>
      <c r="R796" t="s">
        <v>2066</v>
      </c>
      <c r="S796" t="s">
        <v>2067</v>
      </c>
      <c r="T796">
        <f>I796*-0.5+M796*0.5</f>
        <v>4.4999999999999984E-2</v>
      </c>
      <c r="U796">
        <f>I796*0.7+M796*-0.25+D796*-0.25</f>
        <v>0.18565000000000001</v>
      </c>
      <c r="V796">
        <f>J796*0.5+I796*-0.5</f>
        <v>-0.2268</v>
      </c>
      <c r="W796">
        <f>M796*0.5+G796*0.25+I796*0.25</f>
        <v>0.55974999999999997</v>
      </c>
    </row>
    <row r="797" spans="1:23" x14ac:dyDescent="0.2">
      <c r="A797">
        <v>0.21099999999999999</v>
      </c>
      <c r="B797">
        <v>0</v>
      </c>
      <c r="C797">
        <v>4</v>
      </c>
      <c r="D797">
        <v>9.5100000000000004E-2</v>
      </c>
      <c r="E797">
        <v>-6.4640000000000004</v>
      </c>
      <c r="F797">
        <v>246573</v>
      </c>
      <c r="G797">
        <v>0.81</v>
      </c>
      <c r="H797">
        <v>246</v>
      </c>
      <c r="I797">
        <v>0.65900000000000003</v>
      </c>
      <c r="J797">
        <v>0.32</v>
      </c>
      <c r="K797" t="s">
        <v>2522</v>
      </c>
      <c r="L797">
        <v>25</v>
      </c>
      <c r="M797">
        <v>0.748</v>
      </c>
      <c r="N797">
        <v>130.983</v>
      </c>
      <c r="O797">
        <v>0</v>
      </c>
      <c r="P797">
        <v>1</v>
      </c>
      <c r="Q797">
        <v>5</v>
      </c>
      <c r="R797" t="s">
        <v>2523</v>
      </c>
      <c r="S797" t="s">
        <v>2524</v>
      </c>
      <c r="T797">
        <f>I797*-0.5+M797*0.5</f>
        <v>4.4499999999999984E-2</v>
      </c>
      <c r="U797">
        <f>I797*0.7+M797*-0.25+D797*-0.25</f>
        <v>0.250525</v>
      </c>
      <c r="V797">
        <f>J797*0.5+I797*-0.5</f>
        <v>-0.16950000000000001</v>
      </c>
      <c r="W797">
        <f>M797*0.5+G797*0.25+I797*0.25</f>
        <v>0.74124999999999996</v>
      </c>
    </row>
    <row r="798" spans="1:23" x14ac:dyDescent="0.2">
      <c r="A798">
        <v>9.1700000000000004E-2</v>
      </c>
      <c r="B798">
        <v>11</v>
      </c>
      <c r="C798">
        <v>4</v>
      </c>
      <c r="D798">
        <v>7.1300000000000002E-2</v>
      </c>
      <c r="E798">
        <v>-5.2880000000000003</v>
      </c>
      <c r="F798">
        <v>205268</v>
      </c>
      <c r="G798">
        <v>0.52</v>
      </c>
      <c r="H798">
        <v>201</v>
      </c>
      <c r="I798">
        <v>0.73799999999999999</v>
      </c>
      <c r="J798">
        <v>0.41899999999999998</v>
      </c>
      <c r="K798" t="s">
        <v>2629</v>
      </c>
      <c r="L798">
        <v>42</v>
      </c>
      <c r="M798">
        <v>0.82699999999999996</v>
      </c>
      <c r="N798">
        <v>188.143</v>
      </c>
      <c r="O798">
        <v>0</v>
      </c>
      <c r="P798">
        <v>0</v>
      </c>
      <c r="Q798">
        <v>17</v>
      </c>
      <c r="R798" t="s">
        <v>2630</v>
      </c>
      <c r="S798" t="s">
        <v>2631</v>
      </c>
      <c r="T798">
        <f>I798*-0.5+M798*0.5</f>
        <v>4.4499999999999984E-2</v>
      </c>
      <c r="U798">
        <f>I798*0.7+M798*-0.25+D798*-0.25</f>
        <v>0.29202499999999998</v>
      </c>
      <c r="V798">
        <f>J798*0.5+I798*-0.5</f>
        <v>-0.1595</v>
      </c>
      <c r="W798">
        <f>M798*0.5+G798*0.25+I798*0.25</f>
        <v>0.72799999999999998</v>
      </c>
    </row>
    <row r="799" spans="1:23" x14ac:dyDescent="0.2">
      <c r="A799">
        <v>0.22500000000000001</v>
      </c>
      <c r="B799">
        <v>8</v>
      </c>
      <c r="C799">
        <v>4</v>
      </c>
      <c r="D799">
        <v>0.14099999999999999</v>
      </c>
      <c r="E799">
        <v>-6.0890000000000004</v>
      </c>
      <c r="F799">
        <v>288133</v>
      </c>
      <c r="G799">
        <v>0.73199999999999998</v>
      </c>
      <c r="H799">
        <v>288</v>
      </c>
      <c r="I799">
        <v>0.57099999999999995</v>
      </c>
      <c r="J799">
        <v>0.109</v>
      </c>
      <c r="K799" t="s">
        <v>2135</v>
      </c>
      <c r="L799">
        <v>33</v>
      </c>
      <c r="M799">
        <v>0.65900000000000003</v>
      </c>
      <c r="N799">
        <v>148.001</v>
      </c>
      <c r="O799">
        <v>0</v>
      </c>
      <c r="P799">
        <v>1</v>
      </c>
      <c r="Q799">
        <v>6</v>
      </c>
      <c r="R799" t="s">
        <v>2136</v>
      </c>
      <c r="S799" t="s">
        <v>2137</v>
      </c>
      <c r="T799">
        <f>I799*-0.5+M799*0.5</f>
        <v>4.4000000000000039E-2</v>
      </c>
      <c r="U799">
        <f>I799*0.7+M799*-0.25+D799*-0.25</f>
        <v>0.19969999999999993</v>
      </c>
      <c r="V799">
        <f>J799*0.5+I799*-0.5</f>
        <v>-0.23099999999999998</v>
      </c>
      <c r="W799">
        <f>M799*0.5+G799*0.25+I799*0.25</f>
        <v>0.65524999999999989</v>
      </c>
    </row>
    <row r="800" spans="1:23" x14ac:dyDescent="0.2">
      <c r="A800">
        <v>2.3699999999999999E-2</v>
      </c>
      <c r="B800">
        <v>7</v>
      </c>
      <c r="C800">
        <v>4</v>
      </c>
      <c r="D800">
        <v>0.26600000000000001</v>
      </c>
      <c r="E800">
        <v>-7.226</v>
      </c>
      <c r="F800">
        <v>255693</v>
      </c>
      <c r="G800">
        <v>0.54100000000000004</v>
      </c>
      <c r="H800">
        <v>254</v>
      </c>
      <c r="I800">
        <v>0.41699999999999998</v>
      </c>
      <c r="J800" s="1">
        <v>7.3100000000000001E-5</v>
      </c>
      <c r="K800" t="s">
        <v>2058</v>
      </c>
      <c r="L800">
        <v>10</v>
      </c>
      <c r="M800">
        <v>0.505</v>
      </c>
      <c r="N800">
        <v>77.119</v>
      </c>
      <c r="O800">
        <v>3.62E-3</v>
      </c>
      <c r="P800">
        <v>0</v>
      </c>
      <c r="Q800">
        <v>19</v>
      </c>
      <c r="R800" t="s">
        <v>1261</v>
      </c>
      <c r="S800" t="s">
        <v>2059</v>
      </c>
      <c r="T800">
        <f>I800*-0.5+M800*0.5</f>
        <v>4.4000000000000011E-2</v>
      </c>
      <c r="U800">
        <f>I800*0.7+M800*-0.25+D800*-0.25</f>
        <v>9.9149999999999988E-2</v>
      </c>
      <c r="V800">
        <f>J800*0.5+I800*-0.5</f>
        <v>-0.20846344999999999</v>
      </c>
      <c r="W800">
        <f>M800*0.5+G800*0.25+I800*0.25</f>
        <v>0.49200000000000005</v>
      </c>
    </row>
    <row r="801" spans="1:23" x14ac:dyDescent="0.2">
      <c r="A801">
        <v>8.9700000000000002E-2</v>
      </c>
      <c r="B801">
        <v>7</v>
      </c>
      <c r="C801">
        <v>4</v>
      </c>
      <c r="D801">
        <v>3.1899999999999998E-2</v>
      </c>
      <c r="E801">
        <v>-4.9729999999999999</v>
      </c>
      <c r="F801">
        <v>203333</v>
      </c>
      <c r="G801">
        <v>0.7</v>
      </c>
      <c r="H801">
        <v>200</v>
      </c>
      <c r="I801">
        <v>0.60699999999999998</v>
      </c>
      <c r="J801">
        <v>6.2899999999999996E-3</v>
      </c>
      <c r="K801" t="s">
        <v>1793</v>
      </c>
      <c r="L801">
        <v>37</v>
      </c>
      <c r="M801">
        <v>0.69499999999999995</v>
      </c>
      <c r="N801">
        <v>122.02800000000001</v>
      </c>
      <c r="O801">
        <v>0</v>
      </c>
      <c r="P801">
        <v>1</v>
      </c>
      <c r="Q801">
        <v>4</v>
      </c>
      <c r="R801" t="s">
        <v>243</v>
      </c>
      <c r="S801" t="s">
        <v>1794</v>
      </c>
      <c r="T801">
        <f>I801*-0.5+M801*0.5</f>
        <v>4.3999999999999984E-2</v>
      </c>
      <c r="U801">
        <f>I801*0.7+M801*-0.25+D801*-0.25</f>
        <v>0.24317499999999997</v>
      </c>
      <c r="V801">
        <f>J801*0.5+I801*-0.5</f>
        <v>-0.30035499999999998</v>
      </c>
      <c r="W801">
        <f>M801*0.5+G801*0.25+I801*0.25</f>
        <v>0.67425000000000002</v>
      </c>
    </row>
    <row r="802" spans="1:23" x14ac:dyDescent="0.2">
      <c r="A802">
        <v>0.11700000000000001</v>
      </c>
      <c r="B802">
        <v>6</v>
      </c>
      <c r="C802">
        <v>4</v>
      </c>
      <c r="D802">
        <v>0.31</v>
      </c>
      <c r="E802">
        <v>-6.516</v>
      </c>
      <c r="F802">
        <v>213027</v>
      </c>
      <c r="G802">
        <v>0.76700000000000002</v>
      </c>
      <c r="H802">
        <v>212</v>
      </c>
      <c r="I802">
        <v>0.67100000000000004</v>
      </c>
      <c r="J802">
        <v>5.1299999999999998E-2</v>
      </c>
      <c r="K802" t="s">
        <v>1824</v>
      </c>
      <c r="L802">
        <v>8</v>
      </c>
      <c r="M802">
        <v>0.75900000000000001</v>
      </c>
      <c r="N802">
        <v>89.989000000000004</v>
      </c>
      <c r="O802">
        <v>0</v>
      </c>
      <c r="P802">
        <v>1</v>
      </c>
      <c r="Q802">
        <v>4</v>
      </c>
      <c r="R802" t="s">
        <v>1825</v>
      </c>
      <c r="S802" t="s">
        <v>1826</v>
      </c>
      <c r="T802">
        <f>I802*-0.5+M802*0.5</f>
        <v>4.3999999999999984E-2</v>
      </c>
      <c r="U802">
        <f>I802*0.7+M802*-0.25+D802*-0.25</f>
        <v>0.20245000000000002</v>
      </c>
      <c r="V802">
        <f>J802*0.5+I802*-0.5</f>
        <v>-0.30985000000000001</v>
      </c>
      <c r="W802">
        <f>M802*0.5+G802*0.25+I802*0.25</f>
        <v>0.7390000000000001</v>
      </c>
    </row>
    <row r="803" spans="1:23" x14ac:dyDescent="0.2">
      <c r="A803">
        <v>6.5299999999999997E-2</v>
      </c>
      <c r="B803">
        <v>0</v>
      </c>
      <c r="C803">
        <v>4</v>
      </c>
      <c r="D803">
        <v>4.0399999999999998E-2</v>
      </c>
      <c r="E803">
        <v>-6.2450000000000001</v>
      </c>
      <c r="F803">
        <v>225107</v>
      </c>
      <c r="G803">
        <v>0.82799999999999996</v>
      </c>
      <c r="H803">
        <v>224</v>
      </c>
      <c r="I803">
        <v>0.56699999999999995</v>
      </c>
      <c r="J803">
        <v>0.214</v>
      </c>
      <c r="K803" t="s">
        <v>2409</v>
      </c>
      <c r="L803">
        <v>15</v>
      </c>
      <c r="M803">
        <v>0.65300000000000002</v>
      </c>
      <c r="N803">
        <v>68.507000000000005</v>
      </c>
      <c r="O803" s="1">
        <v>3.2499999999999998E-6</v>
      </c>
      <c r="P803">
        <v>0</v>
      </c>
      <c r="Q803">
        <v>11</v>
      </c>
      <c r="R803" t="s">
        <v>2410</v>
      </c>
      <c r="S803" t="s">
        <v>2411</v>
      </c>
      <c r="T803">
        <f>I803*-0.5+M803*0.5</f>
        <v>4.3000000000000038E-2</v>
      </c>
      <c r="U803">
        <f>I803*0.7+M803*-0.25+D803*-0.25</f>
        <v>0.22354999999999992</v>
      </c>
      <c r="V803">
        <f>J803*0.5+I803*-0.5</f>
        <v>-0.17649999999999999</v>
      </c>
      <c r="W803">
        <f>M803*0.5+G803*0.25+I803*0.25</f>
        <v>0.67524999999999991</v>
      </c>
    </row>
    <row r="804" spans="1:23" x14ac:dyDescent="0.2">
      <c r="A804">
        <v>5.8200000000000002E-2</v>
      </c>
      <c r="B804">
        <v>1</v>
      </c>
      <c r="C804">
        <v>4</v>
      </c>
      <c r="D804">
        <v>0.69399999999999995</v>
      </c>
      <c r="E804">
        <v>-5.7969999999999997</v>
      </c>
      <c r="F804">
        <v>229360</v>
      </c>
      <c r="G804">
        <v>0.72</v>
      </c>
      <c r="H804">
        <v>211</v>
      </c>
      <c r="I804">
        <v>0.71599999999999997</v>
      </c>
      <c r="J804">
        <v>9.2100000000000001E-2</v>
      </c>
      <c r="K804" t="s">
        <v>1900</v>
      </c>
      <c r="L804">
        <v>54</v>
      </c>
      <c r="M804">
        <v>0.80200000000000005</v>
      </c>
      <c r="N804">
        <v>124.04300000000001</v>
      </c>
      <c r="O804">
        <v>0</v>
      </c>
      <c r="P804">
        <v>1</v>
      </c>
      <c r="Q804">
        <v>4</v>
      </c>
      <c r="R804" t="s">
        <v>1901</v>
      </c>
      <c r="S804" t="s">
        <v>1902</v>
      </c>
      <c r="T804">
        <f>I804*-0.5+M804*0.5</f>
        <v>4.3000000000000038E-2</v>
      </c>
      <c r="U804">
        <f>I804*0.7+M804*-0.25+D804*-0.25</f>
        <v>0.12719999999999998</v>
      </c>
      <c r="V804">
        <f>J804*0.5+I804*-0.5</f>
        <v>-0.31195000000000001</v>
      </c>
      <c r="W804">
        <f>M804*0.5+G804*0.25+I804*0.25</f>
        <v>0.76</v>
      </c>
    </row>
    <row r="805" spans="1:23" x14ac:dyDescent="0.2">
      <c r="A805">
        <v>5.9499999999999997E-2</v>
      </c>
      <c r="B805">
        <v>5</v>
      </c>
      <c r="C805">
        <v>4</v>
      </c>
      <c r="D805">
        <v>6.3600000000000004E-2</v>
      </c>
      <c r="E805">
        <v>-3.6339999999999999</v>
      </c>
      <c r="F805">
        <v>159416</v>
      </c>
      <c r="G805">
        <v>0.67500000000000004</v>
      </c>
      <c r="H805">
        <v>156</v>
      </c>
      <c r="I805">
        <v>0.72199999999999998</v>
      </c>
      <c r="J805">
        <v>1.23E-2</v>
      </c>
      <c r="K805" t="s">
        <v>1597</v>
      </c>
      <c r="L805">
        <v>59</v>
      </c>
      <c r="M805">
        <v>0.80800000000000005</v>
      </c>
      <c r="N805">
        <v>79.971999999999994</v>
      </c>
      <c r="O805">
        <v>0</v>
      </c>
      <c r="P805">
        <v>0</v>
      </c>
      <c r="Q805">
        <v>20</v>
      </c>
      <c r="R805" t="s">
        <v>1598</v>
      </c>
      <c r="S805" t="s">
        <v>1515</v>
      </c>
      <c r="T805">
        <f>I805*-0.5+M805*0.5</f>
        <v>4.3000000000000038E-2</v>
      </c>
      <c r="U805">
        <f>I805*0.7+M805*-0.25+D805*-0.25</f>
        <v>0.28749999999999992</v>
      </c>
      <c r="V805">
        <f>J805*0.5+I805*-0.5</f>
        <v>-0.35485</v>
      </c>
      <c r="W805">
        <f>M805*0.5+G805*0.25+I805*0.25</f>
        <v>0.75325000000000009</v>
      </c>
    </row>
    <row r="806" spans="1:23" x14ac:dyDescent="0.2">
      <c r="A806">
        <v>3.2300000000000002E-2</v>
      </c>
      <c r="B806">
        <v>11</v>
      </c>
      <c r="C806">
        <v>4</v>
      </c>
      <c r="D806">
        <v>8.2900000000000001E-2</v>
      </c>
      <c r="E806">
        <v>-5.8810000000000002</v>
      </c>
      <c r="F806">
        <v>200373</v>
      </c>
      <c r="G806">
        <v>0.73099999999999998</v>
      </c>
      <c r="H806">
        <v>199</v>
      </c>
      <c r="I806">
        <v>0.77500000000000002</v>
      </c>
      <c r="J806">
        <v>3.1899999999999998E-2</v>
      </c>
      <c r="K806" t="s">
        <v>1572</v>
      </c>
      <c r="L806">
        <v>3</v>
      </c>
      <c r="M806">
        <v>0.86099999999999999</v>
      </c>
      <c r="N806">
        <v>104.03400000000001</v>
      </c>
      <c r="O806">
        <v>0</v>
      </c>
      <c r="P806">
        <v>1</v>
      </c>
      <c r="Q806">
        <v>1</v>
      </c>
      <c r="R806" t="s">
        <v>1349</v>
      </c>
      <c r="S806" t="s">
        <v>1573</v>
      </c>
      <c r="T806">
        <f>I806*-0.5+M806*0.5</f>
        <v>4.2999999999999983E-2</v>
      </c>
      <c r="U806">
        <f>I806*0.7+M806*-0.25+D806*-0.25</f>
        <v>0.30652499999999999</v>
      </c>
      <c r="V806">
        <f>J806*0.5+I806*-0.5</f>
        <v>-0.37154999999999999</v>
      </c>
      <c r="W806">
        <f>M806*0.5+G806*0.25+I806*0.25</f>
        <v>0.80699999999999994</v>
      </c>
    </row>
    <row r="807" spans="1:23" x14ac:dyDescent="0.2">
      <c r="A807">
        <v>5.3699999999999998E-2</v>
      </c>
      <c r="B807">
        <v>7</v>
      </c>
      <c r="C807">
        <v>4</v>
      </c>
      <c r="D807">
        <v>0.13</v>
      </c>
      <c r="E807">
        <v>-4.2809999999999997</v>
      </c>
      <c r="F807">
        <v>212333</v>
      </c>
      <c r="G807">
        <v>0.67400000000000004</v>
      </c>
      <c r="H807">
        <v>210</v>
      </c>
      <c r="I807">
        <v>0.70399999999999996</v>
      </c>
      <c r="J807">
        <v>2.53E-2</v>
      </c>
      <c r="K807" t="s">
        <v>1719</v>
      </c>
      <c r="L807">
        <v>48</v>
      </c>
      <c r="M807">
        <v>0.78800000000000003</v>
      </c>
      <c r="N807">
        <v>139.90799999999999</v>
      </c>
      <c r="O807" s="1">
        <v>2.04E-6</v>
      </c>
      <c r="P807">
        <v>0</v>
      </c>
      <c r="Q807">
        <v>10</v>
      </c>
      <c r="R807" t="s">
        <v>270</v>
      </c>
      <c r="S807" t="s">
        <v>1720</v>
      </c>
      <c r="T807">
        <f>I807*-0.5+M807*0.5</f>
        <v>4.2000000000000037E-2</v>
      </c>
      <c r="U807">
        <f>I807*0.7+M807*-0.25+D807*-0.25</f>
        <v>0.26329999999999998</v>
      </c>
      <c r="V807">
        <f>J807*0.5+I807*-0.5</f>
        <v>-0.33934999999999998</v>
      </c>
      <c r="W807">
        <f>M807*0.5+G807*0.25+I807*0.25</f>
        <v>0.73849999999999993</v>
      </c>
    </row>
    <row r="808" spans="1:23" x14ac:dyDescent="0.2">
      <c r="A808">
        <v>0.32200000000000001</v>
      </c>
      <c r="B808">
        <v>1</v>
      </c>
      <c r="C808">
        <v>4</v>
      </c>
      <c r="D808">
        <v>3.5799999999999998E-2</v>
      </c>
      <c r="E808">
        <v>-4.0350000000000001</v>
      </c>
      <c r="F808">
        <v>257000</v>
      </c>
      <c r="G808">
        <v>0.872</v>
      </c>
      <c r="H808">
        <v>258</v>
      </c>
      <c r="I808">
        <v>0.68500000000000005</v>
      </c>
      <c r="J808">
        <v>5.7200000000000001E-2</v>
      </c>
      <c r="K808" t="s">
        <v>1837</v>
      </c>
      <c r="L808">
        <v>9</v>
      </c>
      <c r="M808">
        <v>0.76900000000000002</v>
      </c>
      <c r="N808">
        <v>106.05</v>
      </c>
      <c r="O808">
        <v>0</v>
      </c>
      <c r="P808">
        <v>1</v>
      </c>
      <c r="Q808">
        <v>6</v>
      </c>
      <c r="R808" t="s">
        <v>1838</v>
      </c>
      <c r="S808" t="s">
        <v>1839</v>
      </c>
      <c r="T808">
        <f>I808*-0.5+M808*0.5</f>
        <v>4.1999999999999982E-2</v>
      </c>
      <c r="U808">
        <f>I808*0.7+M808*-0.25+D808*-0.25</f>
        <v>0.27829999999999999</v>
      </c>
      <c r="V808">
        <f>J808*0.5+I808*-0.5</f>
        <v>-0.31390000000000001</v>
      </c>
      <c r="W808">
        <f>M808*0.5+G808*0.25+I808*0.25</f>
        <v>0.77375000000000005</v>
      </c>
    </row>
    <row r="809" spans="1:23" x14ac:dyDescent="0.2">
      <c r="A809">
        <v>5.4300000000000001E-2</v>
      </c>
      <c r="B809">
        <v>7</v>
      </c>
      <c r="C809">
        <v>4</v>
      </c>
      <c r="D809">
        <v>0.34799999999999998</v>
      </c>
      <c r="E809">
        <v>-2.6280000000000001</v>
      </c>
      <c r="F809">
        <v>219987</v>
      </c>
      <c r="G809">
        <v>0.55100000000000005</v>
      </c>
      <c r="H809">
        <v>227</v>
      </c>
      <c r="I809">
        <v>0.80900000000000005</v>
      </c>
      <c r="J809">
        <v>1.66E-3</v>
      </c>
      <c r="K809" t="s">
        <v>1365</v>
      </c>
      <c r="L809">
        <v>38</v>
      </c>
      <c r="M809">
        <v>0.89300000000000002</v>
      </c>
      <c r="N809">
        <v>125.083</v>
      </c>
      <c r="O809">
        <v>0</v>
      </c>
      <c r="P809">
        <v>1</v>
      </c>
      <c r="Q809">
        <v>13</v>
      </c>
      <c r="R809" t="s">
        <v>629</v>
      </c>
      <c r="S809" t="s">
        <v>1366</v>
      </c>
      <c r="T809">
        <f>I809*-0.5+M809*0.5</f>
        <v>4.1999999999999982E-2</v>
      </c>
      <c r="U809">
        <f>I809*0.7+M809*-0.25+D809*-0.25</f>
        <v>0.25605</v>
      </c>
      <c r="V809">
        <f>J809*0.5+I809*-0.5</f>
        <v>-0.40367000000000003</v>
      </c>
      <c r="W809">
        <f>M809*0.5+G809*0.25+I809*0.25</f>
        <v>0.78650000000000009</v>
      </c>
    </row>
    <row r="810" spans="1:23" x14ac:dyDescent="0.2">
      <c r="A810">
        <v>3.9600000000000003E-2</v>
      </c>
      <c r="B810">
        <v>4</v>
      </c>
      <c r="C810">
        <v>4</v>
      </c>
      <c r="D810">
        <v>9.1899999999999996E-2</v>
      </c>
      <c r="E810">
        <v>-11.542</v>
      </c>
      <c r="F810">
        <v>259040</v>
      </c>
      <c r="G810">
        <v>0.71399999999999997</v>
      </c>
      <c r="H810">
        <v>226</v>
      </c>
      <c r="I810">
        <v>0.35099999999999998</v>
      </c>
      <c r="J810">
        <v>0.69699999999999995</v>
      </c>
      <c r="K810" t="s">
        <v>3069</v>
      </c>
      <c r="L810">
        <v>41</v>
      </c>
      <c r="M810">
        <v>0.434</v>
      </c>
      <c r="N810">
        <v>123.94199999999999</v>
      </c>
      <c r="O810">
        <v>0</v>
      </c>
      <c r="P810">
        <v>1</v>
      </c>
      <c r="Q810">
        <v>2</v>
      </c>
      <c r="R810" t="s">
        <v>206</v>
      </c>
      <c r="S810" t="s">
        <v>3070</v>
      </c>
      <c r="T810">
        <f>I810*-0.5+M810*0.5</f>
        <v>4.1500000000000009E-2</v>
      </c>
      <c r="U810">
        <f>I810*0.7+M810*-0.25+D810*-0.25</f>
        <v>0.11422499999999999</v>
      </c>
      <c r="V810">
        <f>J810*0.5+I810*-0.5</f>
        <v>0.17299999999999999</v>
      </c>
      <c r="W810">
        <f>M810*0.5+G810*0.25+I810*0.25</f>
        <v>0.48324999999999996</v>
      </c>
    </row>
    <row r="811" spans="1:23" x14ac:dyDescent="0.2">
      <c r="A811">
        <v>3.6299999999999999E-2</v>
      </c>
      <c r="B811">
        <v>9</v>
      </c>
      <c r="C811">
        <v>4</v>
      </c>
      <c r="D811">
        <v>0.107</v>
      </c>
      <c r="E811">
        <v>-4.3360000000000003</v>
      </c>
      <c r="F811">
        <v>197931</v>
      </c>
      <c r="G811">
        <v>0.51700000000000002</v>
      </c>
      <c r="H811">
        <v>195</v>
      </c>
      <c r="I811">
        <v>0.66</v>
      </c>
      <c r="J811">
        <v>0.24299999999999999</v>
      </c>
      <c r="K811" t="s">
        <v>2372</v>
      </c>
      <c r="L811">
        <v>59</v>
      </c>
      <c r="M811">
        <v>0.74299999999999999</v>
      </c>
      <c r="N811">
        <v>76.978999999999999</v>
      </c>
      <c r="O811" s="1">
        <v>3.36E-6</v>
      </c>
      <c r="P811">
        <v>1</v>
      </c>
      <c r="Q811">
        <v>15</v>
      </c>
      <c r="R811" t="s">
        <v>2373</v>
      </c>
      <c r="S811" t="s">
        <v>2374</v>
      </c>
      <c r="T811">
        <f>I811*-0.5+M811*0.5</f>
        <v>4.1499999999999981E-2</v>
      </c>
      <c r="U811">
        <f>I811*0.7+M811*-0.25+D811*-0.25</f>
        <v>0.2495</v>
      </c>
      <c r="V811">
        <f>J811*0.5+I811*-0.5</f>
        <v>-0.20850000000000002</v>
      </c>
      <c r="W811">
        <f>M811*0.5+G811*0.25+I811*0.25</f>
        <v>0.66575000000000006</v>
      </c>
    </row>
    <row r="812" spans="1:23" x14ac:dyDescent="0.2">
      <c r="A812">
        <v>0.22600000000000001</v>
      </c>
      <c r="B812">
        <v>2</v>
      </c>
      <c r="C812">
        <v>4</v>
      </c>
      <c r="D812">
        <v>7.1499999999999994E-2</v>
      </c>
      <c r="E812">
        <v>-6.5960000000000001</v>
      </c>
      <c r="F812">
        <v>236133</v>
      </c>
      <c r="G812">
        <v>0.64600000000000002</v>
      </c>
      <c r="H812">
        <v>235</v>
      </c>
      <c r="I812">
        <v>0.68700000000000006</v>
      </c>
      <c r="J812">
        <v>2.49E-3</v>
      </c>
      <c r="K812" t="s">
        <v>1662</v>
      </c>
      <c r="L812">
        <v>14</v>
      </c>
      <c r="M812">
        <v>0.77</v>
      </c>
      <c r="N812">
        <v>99.165000000000006</v>
      </c>
      <c r="O812">
        <v>0</v>
      </c>
      <c r="P812">
        <v>0</v>
      </c>
      <c r="Q812">
        <v>1</v>
      </c>
      <c r="R812" t="s">
        <v>562</v>
      </c>
      <c r="S812" t="s">
        <v>1663</v>
      </c>
      <c r="T812">
        <f>I812*-0.5+M812*0.5</f>
        <v>4.1499999999999981E-2</v>
      </c>
      <c r="U812">
        <f>I812*0.7+M812*-0.25+D812*-0.25</f>
        <v>0.27052500000000002</v>
      </c>
      <c r="V812">
        <f>J812*0.5+I812*-0.5</f>
        <v>-0.34225500000000003</v>
      </c>
      <c r="W812">
        <f>M812*0.5+G812*0.25+I812*0.25</f>
        <v>0.71825000000000006</v>
      </c>
    </row>
    <row r="813" spans="1:23" x14ac:dyDescent="0.2">
      <c r="A813">
        <v>4.6199999999999998E-2</v>
      </c>
      <c r="B813">
        <v>0</v>
      </c>
      <c r="C813">
        <v>4</v>
      </c>
      <c r="D813">
        <v>0.378</v>
      </c>
      <c r="E813">
        <v>-5.12</v>
      </c>
      <c r="F813">
        <v>216813</v>
      </c>
      <c r="G813">
        <v>0.495</v>
      </c>
      <c r="H813">
        <v>213</v>
      </c>
      <c r="I813">
        <v>0.79300000000000004</v>
      </c>
      <c r="J813">
        <v>4.64E-3</v>
      </c>
      <c r="K813" t="s">
        <v>1431</v>
      </c>
      <c r="L813">
        <v>38</v>
      </c>
      <c r="M813">
        <v>0.876</v>
      </c>
      <c r="N813">
        <v>178.96600000000001</v>
      </c>
      <c r="O813" s="1">
        <v>1.48E-6</v>
      </c>
      <c r="P813">
        <v>1</v>
      </c>
      <c r="Q813">
        <v>18</v>
      </c>
      <c r="R813" t="s">
        <v>1432</v>
      </c>
      <c r="S813" t="s">
        <v>1433</v>
      </c>
      <c r="T813">
        <f>I813*-0.5+M813*0.5</f>
        <v>4.1499999999999981E-2</v>
      </c>
      <c r="U813">
        <f>I813*0.7+M813*-0.25+D813*-0.25</f>
        <v>0.24160000000000006</v>
      </c>
      <c r="V813">
        <f>J813*0.5+I813*-0.5</f>
        <v>-0.39418000000000003</v>
      </c>
      <c r="W813">
        <f>M813*0.5+G813*0.25+I813*0.25</f>
        <v>0.76</v>
      </c>
    </row>
    <row r="814" spans="1:23" x14ac:dyDescent="0.2">
      <c r="A814">
        <v>2.8899999999999999E-2</v>
      </c>
      <c r="B814">
        <v>8</v>
      </c>
      <c r="C814">
        <v>4</v>
      </c>
      <c r="D814">
        <v>0.14599999999999999</v>
      </c>
      <c r="E814">
        <v>-2.6629999999999998</v>
      </c>
      <c r="F814">
        <v>155337</v>
      </c>
      <c r="G814">
        <v>0.71399999999999997</v>
      </c>
      <c r="H814">
        <v>153</v>
      </c>
      <c r="I814">
        <v>0.82399999999999995</v>
      </c>
      <c r="J814">
        <v>8.5500000000000003E-3</v>
      </c>
      <c r="K814" t="s">
        <v>1378</v>
      </c>
      <c r="L814">
        <v>47</v>
      </c>
      <c r="M814">
        <v>0.90500000000000003</v>
      </c>
      <c r="N814">
        <v>125.92700000000001</v>
      </c>
      <c r="O814" s="1">
        <v>2.55E-5</v>
      </c>
      <c r="P814">
        <v>1</v>
      </c>
      <c r="Q814">
        <v>1</v>
      </c>
      <c r="R814" t="s">
        <v>1379</v>
      </c>
      <c r="S814" t="s">
        <v>1380</v>
      </c>
      <c r="T814">
        <f>I814*-0.5+M814*0.5</f>
        <v>4.0500000000000036E-2</v>
      </c>
      <c r="U814">
        <f>I814*0.7+M814*-0.25+D814*-0.25</f>
        <v>0.31405</v>
      </c>
      <c r="V814">
        <f>J814*0.5+I814*-0.5</f>
        <v>-0.407725</v>
      </c>
      <c r="W814">
        <f>M814*0.5+G814*0.25+I814*0.25</f>
        <v>0.83699999999999997</v>
      </c>
    </row>
    <row r="815" spans="1:23" x14ac:dyDescent="0.2">
      <c r="A815">
        <v>6.9500000000000006E-2</v>
      </c>
      <c r="B815">
        <v>1</v>
      </c>
      <c r="C815">
        <v>4</v>
      </c>
      <c r="D815">
        <v>0.86199999999999999</v>
      </c>
      <c r="E815">
        <v>-5.5129999999999999</v>
      </c>
      <c r="F815">
        <v>242200</v>
      </c>
      <c r="G815">
        <v>0.74199999999999999</v>
      </c>
      <c r="H815">
        <v>236</v>
      </c>
      <c r="I815">
        <v>0.39</v>
      </c>
      <c r="J815">
        <v>5.1700000000000003E-2</v>
      </c>
      <c r="K815" t="s">
        <v>2260</v>
      </c>
      <c r="L815">
        <v>32</v>
      </c>
      <c r="M815">
        <v>0.47099999999999997</v>
      </c>
      <c r="N815">
        <v>86.466999999999999</v>
      </c>
      <c r="O815">
        <v>0</v>
      </c>
      <c r="P815">
        <v>1</v>
      </c>
      <c r="Q815">
        <v>5</v>
      </c>
      <c r="R815" t="s">
        <v>2006</v>
      </c>
      <c r="S815" t="s">
        <v>2261</v>
      </c>
      <c r="T815">
        <f>I815*-0.5+M815*0.5</f>
        <v>4.049999999999998E-2</v>
      </c>
      <c r="U815">
        <f>I815*0.7+M815*-0.25+D815*-0.25</f>
        <v>-6.0250000000000026E-2</v>
      </c>
      <c r="V815">
        <f>J815*0.5+I815*-0.5</f>
        <v>-0.16914999999999999</v>
      </c>
      <c r="W815">
        <f>M815*0.5+G815*0.25+I815*0.25</f>
        <v>0.51849999999999996</v>
      </c>
    </row>
    <row r="816" spans="1:23" x14ac:dyDescent="0.2">
      <c r="A816">
        <v>3.7499999999999999E-2</v>
      </c>
      <c r="B816">
        <v>6</v>
      </c>
      <c r="C816">
        <v>4</v>
      </c>
      <c r="D816">
        <v>0.26200000000000001</v>
      </c>
      <c r="E816">
        <v>-4.4980000000000002</v>
      </c>
      <c r="F816">
        <v>231560</v>
      </c>
      <c r="G816">
        <v>0.59099999999999997</v>
      </c>
      <c r="H816">
        <v>229</v>
      </c>
      <c r="I816">
        <v>0.76</v>
      </c>
      <c r="J816">
        <v>9.7099999999999999E-3</v>
      </c>
      <c r="K816" t="s">
        <v>1545</v>
      </c>
      <c r="L816">
        <v>31</v>
      </c>
      <c r="M816">
        <v>0.84099999999999997</v>
      </c>
      <c r="N816">
        <v>138.03700000000001</v>
      </c>
      <c r="O816">
        <v>0</v>
      </c>
      <c r="P816">
        <v>1</v>
      </c>
      <c r="Q816">
        <v>11</v>
      </c>
      <c r="R816" t="s">
        <v>243</v>
      </c>
      <c r="S816" t="s">
        <v>1546</v>
      </c>
      <c r="T816">
        <f>I816*-0.5+M816*0.5</f>
        <v>4.049999999999998E-2</v>
      </c>
      <c r="U816">
        <f>I816*0.7+M816*-0.25+D816*-0.25</f>
        <v>0.25624999999999992</v>
      </c>
      <c r="V816">
        <f>J816*0.5+I816*-0.5</f>
        <v>-0.37514500000000001</v>
      </c>
      <c r="W816">
        <f>M816*0.5+G816*0.25+I816*0.25</f>
        <v>0.75824999999999987</v>
      </c>
    </row>
    <row r="817" spans="1:23" x14ac:dyDescent="0.2">
      <c r="A817">
        <v>2.9899999999999999E-2</v>
      </c>
      <c r="B817">
        <v>2</v>
      </c>
      <c r="C817">
        <v>4</v>
      </c>
      <c r="D817">
        <v>9.4399999999999998E-2</v>
      </c>
      <c r="E817">
        <v>-7.0720000000000001</v>
      </c>
      <c r="F817">
        <v>247907</v>
      </c>
      <c r="G817">
        <v>0.67300000000000004</v>
      </c>
      <c r="H817">
        <v>245</v>
      </c>
      <c r="I817">
        <v>0.54900000000000004</v>
      </c>
      <c r="J817">
        <v>1.41E-3</v>
      </c>
      <c r="K817" t="s">
        <v>1908</v>
      </c>
      <c r="L817">
        <v>45</v>
      </c>
      <c r="M817">
        <v>0.629</v>
      </c>
      <c r="N817">
        <v>103.998</v>
      </c>
      <c r="O817">
        <v>0</v>
      </c>
      <c r="P817">
        <v>1</v>
      </c>
      <c r="Q817">
        <v>13</v>
      </c>
      <c r="R817" t="s">
        <v>243</v>
      </c>
      <c r="S817" t="s">
        <v>1909</v>
      </c>
      <c r="T817">
        <f>I817*-0.5+M817*0.5</f>
        <v>3.999999999999998E-2</v>
      </c>
      <c r="U817">
        <f>I817*0.7+M817*-0.25+D817*-0.25</f>
        <v>0.20345000000000002</v>
      </c>
      <c r="V817">
        <f>J817*0.5+I817*-0.5</f>
        <v>-0.27379500000000001</v>
      </c>
      <c r="W817">
        <f>M817*0.5+G817*0.25+I817*0.25</f>
        <v>0.62</v>
      </c>
    </row>
    <row r="818" spans="1:23" x14ac:dyDescent="0.2">
      <c r="A818">
        <v>3.3500000000000002E-2</v>
      </c>
      <c r="B818">
        <v>8</v>
      </c>
      <c r="C818">
        <v>4</v>
      </c>
      <c r="D818">
        <v>0.11799999999999999</v>
      </c>
      <c r="E818">
        <v>-3.52</v>
      </c>
      <c r="F818">
        <v>226533</v>
      </c>
      <c r="G818">
        <v>0.59599999999999997</v>
      </c>
      <c r="H818">
        <v>223</v>
      </c>
      <c r="I818">
        <v>0.56100000000000005</v>
      </c>
      <c r="J818">
        <v>0.38100000000000001</v>
      </c>
      <c r="K818" t="s">
        <v>2754</v>
      </c>
      <c r="L818">
        <v>35</v>
      </c>
      <c r="M818">
        <v>0.64</v>
      </c>
      <c r="N818">
        <v>90.015000000000001</v>
      </c>
      <c r="O818">
        <v>0</v>
      </c>
      <c r="P818">
        <v>1</v>
      </c>
      <c r="Q818">
        <v>10</v>
      </c>
      <c r="R818" t="s">
        <v>2755</v>
      </c>
      <c r="S818" t="s">
        <v>2756</v>
      </c>
      <c r="T818">
        <f>I818*-0.5+M818*0.5</f>
        <v>3.949999999999998E-2</v>
      </c>
      <c r="U818">
        <f>I818*0.7+M818*-0.25+D818*-0.25</f>
        <v>0.20319999999999999</v>
      </c>
      <c r="V818">
        <f>J818*0.5+I818*-0.5</f>
        <v>-9.0000000000000024E-2</v>
      </c>
      <c r="W818">
        <f>M818*0.5+G818*0.25+I818*0.25</f>
        <v>0.60924999999999996</v>
      </c>
    </row>
    <row r="819" spans="1:23" x14ac:dyDescent="0.2">
      <c r="A819">
        <v>5.2400000000000002E-2</v>
      </c>
      <c r="B819">
        <v>10</v>
      </c>
      <c r="C819">
        <v>4</v>
      </c>
      <c r="D819">
        <v>4.2500000000000003E-2</v>
      </c>
      <c r="E819">
        <v>-3.8380000000000001</v>
      </c>
      <c r="F819">
        <v>220573</v>
      </c>
      <c r="G819">
        <v>0.55100000000000005</v>
      </c>
      <c r="H819">
        <v>217</v>
      </c>
      <c r="I819">
        <v>0.75800000000000001</v>
      </c>
      <c r="J819">
        <v>5.0200000000000002E-3</v>
      </c>
      <c r="K819" t="s">
        <v>1547</v>
      </c>
      <c r="L819">
        <v>48</v>
      </c>
      <c r="M819">
        <v>0.83599999999999997</v>
      </c>
      <c r="N819">
        <v>185.06299999999999</v>
      </c>
      <c r="O819" s="1">
        <v>2.0999999999999999E-5</v>
      </c>
      <c r="P819">
        <v>0</v>
      </c>
      <c r="Q819">
        <v>13</v>
      </c>
      <c r="R819" t="s">
        <v>1090</v>
      </c>
      <c r="S819" t="s">
        <v>1548</v>
      </c>
      <c r="T819">
        <f>I819*-0.5+M819*0.5</f>
        <v>3.8999999999999979E-2</v>
      </c>
      <c r="U819">
        <f>I819*0.7+M819*-0.25+D819*-0.25</f>
        <v>0.310975</v>
      </c>
      <c r="V819">
        <f>J819*0.5+I819*-0.5</f>
        <v>-0.37648999999999999</v>
      </c>
      <c r="W819">
        <f>M819*0.5+G819*0.25+I819*0.25</f>
        <v>0.74524999999999997</v>
      </c>
    </row>
    <row r="820" spans="1:23" x14ac:dyDescent="0.2">
      <c r="A820">
        <v>2.9100000000000001E-2</v>
      </c>
      <c r="B820">
        <v>9</v>
      </c>
      <c r="C820">
        <v>4</v>
      </c>
      <c r="D820">
        <v>5.79E-2</v>
      </c>
      <c r="E820">
        <v>-3.8780000000000001</v>
      </c>
      <c r="F820">
        <v>217533</v>
      </c>
      <c r="G820">
        <v>0.67100000000000004</v>
      </c>
      <c r="H820">
        <v>214</v>
      </c>
      <c r="I820">
        <v>0.84399999999999997</v>
      </c>
      <c r="J820">
        <v>1.29E-2</v>
      </c>
      <c r="K820" t="s">
        <v>1383</v>
      </c>
      <c r="L820">
        <v>9</v>
      </c>
      <c r="M820">
        <v>0.92100000000000004</v>
      </c>
      <c r="N820">
        <v>118.42400000000001</v>
      </c>
      <c r="O820">
        <v>2.35E-2</v>
      </c>
      <c r="P820">
        <v>1</v>
      </c>
      <c r="Q820">
        <v>18</v>
      </c>
      <c r="R820" t="s">
        <v>1261</v>
      </c>
      <c r="S820" t="s">
        <v>1384</v>
      </c>
      <c r="T820">
        <f>I820*-0.5+M820*0.5</f>
        <v>3.8500000000000034E-2</v>
      </c>
      <c r="U820">
        <f>I820*0.7+M820*-0.25+D820*-0.25</f>
        <v>0.34607499999999997</v>
      </c>
      <c r="V820">
        <f>J820*0.5+I820*-0.5</f>
        <v>-0.41554999999999997</v>
      </c>
      <c r="W820">
        <f>M820*0.5+G820*0.25+I820*0.25</f>
        <v>0.83924999999999994</v>
      </c>
    </row>
    <row r="821" spans="1:23" x14ac:dyDescent="0.2">
      <c r="A821">
        <v>0.223</v>
      </c>
      <c r="B821">
        <v>4</v>
      </c>
      <c r="C821">
        <v>4</v>
      </c>
      <c r="D821">
        <v>0.111</v>
      </c>
      <c r="E821">
        <v>-5.9870000000000001</v>
      </c>
      <c r="F821">
        <v>326960</v>
      </c>
      <c r="G821">
        <v>0.8</v>
      </c>
      <c r="H821">
        <v>223</v>
      </c>
      <c r="I821">
        <v>0.61099999999999999</v>
      </c>
      <c r="J821">
        <v>0.12</v>
      </c>
      <c r="K821" t="s">
        <v>2156</v>
      </c>
      <c r="L821">
        <v>21</v>
      </c>
      <c r="M821">
        <v>0.68799999999999994</v>
      </c>
      <c r="N821">
        <v>123.929</v>
      </c>
      <c r="O821" s="1">
        <v>4.0500000000000002E-6</v>
      </c>
      <c r="P821">
        <v>1</v>
      </c>
      <c r="Q821">
        <v>5</v>
      </c>
      <c r="R821" t="s">
        <v>491</v>
      </c>
      <c r="S821" t="s">
        <v>2157</v>
      </c>
      <c r="T821">
        <f>I821*-0.5+M821*0.5</f>
        <v>3.8499999999999979E-2</v>
      </c>
      <c r="U821">
        <f>I821*0.7+M821*-0.25+D821*-0.25</f>
        <v>0.22794999999999999</v>
      </c>
      <c r="V821">
        <f>J821*0.5+I821*-0.5</f>
        <v>-0.2455</v>
      </c>
      <c r="W821">
        <f>M821*0.5+G821*0.25+I821*0.25</f>
        <v>0.69674999999999998</v>
      </c>
    </row>
    <row r="822" spans="1:23" x14ac:dyDescent="0.2">
      <c r="A822">
        <v>3.5400000000000001E-2</v>
      </c>
      <c r="B822">
        <v>10</v>
      </c>
      <c r="C822">
        <v>4</v>
      </c>
      <c r="D822">
        <v>5.7500000000000002E-2</v>
      </c>
      <c r="E822">
        <v>-3.3420000000000001</v>
      </c>
      <c r="F822">
        <v>208960</v>
      </c>
      <c r="G822">
        <v>0.46400000000000002</v>
      </c>
      <c r="H822">
        <v>218</v>
      </c>
      <c r="I822">
        <v>0.86899999999999999</v>
      </c>
      <c r="J822">
        <v>1.89E-2</v>
      </c>
      <c r="K822" t="s">
        <v>1351</v>
      </c>
      <c r="L822">
        <v>45</v>
      </c>
      <c r="M822">
        <v>0.94499999999999995</v>
      </c>
      <c r="N822">
        <v>148.012</v>
      </c>
      <c r="O822">
        <v>0</v>
      </c>
      <c r="P822">
        <v>1</v>
      </c>
      <c r="Q822">
        <v>16</v>
      </c>
      <c r="R822" t="s">
        <v>1352</v>
      </c>
      <c r="S822" t="s">
        <v>1353</v>
      </c>
      <c r="T822">
        <f>I822*-0.5+M822*0.5</f>
        <v>3.7999999999999978E-2</v>
      </c>
      <c r="U822">
        <f>I822*0.7+M822*-0.25+D822*-0.25</f>
        <v>0.35767499999999997</v>
      </c>
      <c r="V822">
        <f>J822*0.5+I822*-0.5</f>
        <v>-0.42504999999999998</v>
      </c>
      <c r="W822">
        <f>M822*0.5+G822*0.25+I822*0.25</f>
        <v>0.80574999999999997</v>
      </c>
    </row>
    <row r="823" spans="1:23" x14ac:dyDescent="0.2">
      <c r="A823">
        <v>4.6199999999999998E-2</v>
      </c>
      <c r="B823">
        <v>1</v>
      </c>
      <c r="C823">
        <v>4</v>
      </c>
      <c r="D823">
        <v>0.36199999999999999</v>
      </c>
      <c r="E823">
        <v>-13.638999999999999</v>
      </c>
      <c r="F823">
        <v>296227</v>
      </c>
      <c r="G823">
        <v>0.68700000000000006</v>
      </c>
      <c r="H823">
        <v>207</v>
      </c>
      <c r="I823">
        <v>0.57099999999999995</v>
      </c>
      <c r="J823">
        <v>0.42099999999999999</v>
      </c>
      <c r="K823" t="s">
        <v>2814</v>
      </c>
      <c r="L823">
        <v>12</v>
      </c>
      <c r="M823">
        <v>0.64600000000000002</v>
      </c>
      <c r="N823">
        <v>113.989</v>
      </c>
      <c r="O823">
        <v>0.41</v>
      </c>
      <c r="P823">
        <v>1</v>
      </c>
      <c r="Q823">
        <v>11</v>
      </c>
      <c r="R823" t="s">
        <v>2815</v>
      </c>
      <c r="S823" t="s">
        <v>2816</v>
      </c>
      <c r="T823">
        <f>I823*-0.5+M823*0.5</f>
        <v>3.7500000000000033E-2</v>
      </c>
      <c r="U823">
        <f>I823*0.7+M823*-0.25+D823*-0.25</f>
        <v>0.14769999999999994</v>
      </c>
      <c r="V823">
        <f>J823*0.5+I823*-0.5</f>
        <v>-7.4999999999999983E-2</v>
      </c>
      <c r="W823">
        <f>M823*0.5+G823*0.25+I823*0.25</f>
        <v>0.63749999999999996</v>
      </c>
    </row>
    <row r="824" spans="1:23" x14ac:dyDescent="0.2">
      <c r="A824">
        <v>3.0499999999999999E-2</v>
      </c>
      <c r="B824">
        <v>9</v>
      </c>
      <c r="C824">
        <v>4</v>
      </c>
      <c r="D824">
        <v>9.8000000000000004E-2</v>
      </c>
      <c r="E824">
        <v>-9.2379999999999995</v>
      </c>
      <c r="F824">
        <v>271040</v>
      </c>
      <c r="G824">
        <v>0.55800000000000005</v>
      </c>
      <c r="H824">
        <v>268</v>
      </c>
      <c r="I824">
        <v>0.193</v>
      </c>
      <c r="J824">
        <v>0.84399999999999997</v>
      </c>
      <c r="K824" t="s">
        <v>3115</v>
      </c>
      <c r="L824">
        <v>20</v>
      </c>
      <c r="M824">
        <v>0.26800000000000002</v>
      </c>
      <c r="N824">
        <v>144.71199999999999</v>
      </c>
      <c r="O824">
        <v>0</v>
      </c>
      <c r="P824">
        <v>0</v>
      </c>
      <c r="Q824">
        <v>12</v>
      </c>
      <c r="R824" t="s">
        <v>3116</v>
      </c>
      <c r="S824" t="s">
        <v>3117</v>
      </c>
      <c r="T824">
        <f>I824*-0.5+M824*0.5</f>
        <v>3.7500000000000006E-2</v>
      </c>
      <c r="U824">
        <f>I824*0.7+M824*-0.25+D824*-0.25</f>
        <v>4.3599999999999993E-2</v>
      </c>
      <c r="V824">
        <f>J824*0.5+I824*-0.5</f>
        <v>0.32550000000000001</v>
      </c>
      <c r="W824">
        <f>M824*0.5+G824*0.25+I824*0.25</f>
        <v>0.32175000000000004</v>
      </c>
    </row>
    <row r="825" spans="1:23" x14ac:dyDescent="0.2">
      <c r="A825">
        <v>0.115</v>
      </c>
      <c r="B825">
        <v>1</v>
      </c>
      <c r="C825">
        <v>4</v>
      </c>
      <c r="D825">
        <v>0.23899999999999999</v>
      </c>
      <c r="E825">
        <v>-4.8949999999999996</v>
      </c>
      <c r="F825">
        <v>239693</v>
      </c>
      <c r="G825">
        <v>0.70299999999999996</v>
      </c>
      <c r="H825">
        <v>294</v>
      </c>
      <c r="I825">
        <v>0.55400000000000005</v>
      </c>
      <c r="J825">
        <v>0.27600000000000002</v>
      </c>
      <c r="K825" t="s">
        <v>2574</v>
      </c>
      <c r="L825">
        <v>1</v>
      </c>
      <c r="M825">
        <v>0.629</v>
      </c>
      <c r="N825">
        <v>90.05</v>
      </c>
      <c r="O825" s="1">
        <v>2.3099999999999999E-5</v>
      </c>
      <c r="P825">
        <v>1</v>
      </c>
      <c r="Q825">
        <v>7</v>
      </c>
      <c r="R825" t="s">
        <v>2575</v>
      </c>
      <c r="S825" t="s">
        <v>2576</v>
      </c>
      <c r="T825">
        <f>I825*-0.5+M825*0.5</f>
        <v>3.7499999999999978E-2</v>
      </c>
      <c r="U825">
        <f>I825*0.7+M825*-0.25+D825*-0.25</f>
        <v>0.17080000000000004</v>
      </c>
      <c r="V825">
        <f>J825*0.5+I825*-0.5</f>
        <v>-0.13900000000000001</v>
      </c>
      <c r="W825">
        <f>M825*0.5+G825*0.25+I825*0.25</f>
        <v>0.62874999999999992</v>
      </c>
    </row>
    <row r="826" spans="1:23" x14ac:dyDescent="0.2">
      <c r="A826">
        <v>5.7599999999999998E-2</v>
      </c>
      <c r="B826">
        <v>6</v>
      </c>
      <c r="C826">
        <v>4</v>
      </c>
      <c r="D826">
        <v>0.11700000000000001</v>
      </c>
      <c r="E826">
        <v>-3.68</v>
      </c>
      <c r="F826">
        <v>220627</v>
      </c>
      <c r="G826">
        <v>0.57099999999999995</v>
      </c>
      <c r="H826">
        <v>229</v>
      </c>
      <c r="I826">
        <v>0.85799999999999998</v>
      </c>
      <c r="J826">
        <v>4.4799999999999996E-3</v>
      </c>
      <c r="K826" t="s">
        <v>1318</v>
      </c>
      <c r="L826">
        <v>38</v>
      </c>
      <c r="M826">
        <v>0.93200000000000005</v>
      </c>
      <c r="N826">
        <v>150.01400000000001</v>
      </c>
      <c r="O826">
        <v>9.3900000000000008E-3</v>
      </c>
      <c r="P826">
        <v>0</v>
      </c>
      <c r="Q826">
        <v>16</v>
      </c>
      <c r="R826" t="s">
        <v>528</v>
      </c>
      <c r="S826" t="s">
        <v>1319</v>
      </c>
      <c r="T826">
        <f>I826*-0.5+M826*0.5</f>
        <v>3.7000000000000033E-2</v>
      </c>
      <c r="U826">
        <f>I826*0.7+M826*-0.25+D826*-0.25</f>
        <v>0.33834999999999993</v>
      </c>
      <c r="V826">
        <f>J826*0.5+I826*-0.5</f>
        <v>-0.42675999999999997</v>
      </c>
      <c r="W826">
        <f>M826*0.5+G826*0.25+I826*0.25</f>
        <v>0.82325000000000004</v>
      </c>
    </row>
    <row r="827" spans="1:23" x14ac:dyDescent="0.2">
      <c r="A827">
        <v>3.6299999999999999E-2</v>
      </c>
      <c r="B827">
        <v>1</v>
      </c>
      <c r="C827">
        <v>4</v>
      </c>
      <c r="D827">
        <v>7.9799999999999996E-2</v>
      </c>
      <c r="E827">
        <v>-6.0270000000000001</v>
      </c>
      <c r="F827">
        <v>289760</v>
      </c>
      <c r="G827">
        <v>0.80500000000000005</v>
      </c>
      <c r="H827">
        <v>285</v>
      </c>
      <c r="I827">
        <v>0.42</v>
      </c>
      <c r="J827">
        <v>1.64E-3</v>
      </c>
      <c r="K827" t="s">
        <v>2099</v>
      </c>
      <c r="L827">
        <v>24</v>
      </c>
      <c r="M827">
        <v>0.49399999999999999</v>
      </c>
      <c r="N827">
        <v>115.04900000000001</v>
      </c>
      <c r="O827">
        <v>0</v>
      </c>
      <c r="P827">
        <v>1</v>
      </c>
      <c r="Q827">
        <v>11</v>
      </c>
      <c r="R827" t="s">
        <v>556</v>
      </c>
      <c r="S827" t="s">
        <v>2100</v>
      </c>
      <c r="T827">
        <f>I827*-0.5+M827*0.5</f>
        <v>3.7000000000000005E-2</v>
      </c>
      <c r="U827">
        <f>I827*0.7+M827*-0.25+D827*-0.25</f>
        <v>0.15054999999999999</v>
      </c>
      <c r="V827">
        <f>J827*0.5+I827*-0.5</f>
        <v>-0.20918</v>
      </c>
      <c r="W827">
        <f>M827*0.5+G827*0.25+I827*0.25</f>
        <v>0.55325000000000002</v>
      </c>
    </row>
    <row r="828" spans="1:23" x14ac:dyDescent="0.2">
      <c r="A828">
        <v>4.6300000000000001E-2</v>
      </c>
      <c r="B828">
        <v>6</v>
      </c>
      <c r="C828">
        <v>4</v>
      </c>
      <c r="D828">
        <v>0.14499999999999999</v>
      </c>
      <c r="E828">
        <v>-3.0990000000000002</v>
      </c>
      <c r="F828">
        <v>205347</v>
      </c>
      <c r="G828">
        <v>0.64300000000000002</v>
      </c>
      <c r="H828">
        <v>204</v>
      </c>
      <c r="I828">
        <v>0.621</v>
      </c>
      <c r="J828">
        <v>0.23599999999999999</v>
      </c>
      <c r="K828" t="s">
        <v>2424</v>
      </c>
      <c r="L828">
        <v>43</v>
      </c>
      <c r="M828">
        <v>0.69499999999999995</v>
      </c>
      <c r="N828">
        <v>123.026</v>
      </c>
      <c r="O828">
        <v>0</v>
      </c>
      <c r="P828">
        <v>1</v>
      </c>
      <c r="Q828">
        <v>12</v>
      </c>
      <c r="R828" t="s">
        <v>397</v>
      </c>
      <c r="S828" t="s">
        <v>2425</v>
      </c>
      <c r="T828">
        <f>I828*-0.5+M828*0.5</f>
        <v>3.6999999999999977E-2</v>
      </c>
      <c r="U828">
        <f>I828*0.7+M828*-0.25+D828*-0.25</f>
        <v>0.22470000000000001</v>
      </c>
      <c r="V828">
        <f>J828*0.5+I828*-0.5</f>
        <v>-0.1925</v>
      </c>
      <c r="W828">
        <f>M828*0.5+G828*0.25+I828*0.25</f>
        <v>0.66349999999999998</v>
      </c>
    </row>
    <row r="829" spans="1:23" x14ac:dyDescent="0.2">
      <c r="A829">
        <v>0.29099999999999998</v>
      </c>
      <c r="B829">
        <v>3</v>
      </c>
      <c r="C829">
        <v>4</v>
      </c>
      <c r="D829">
        <v>0.44600000000000001</v>
      </c>
      <c r="E829">
        <v>-6.0060000000000002</v>
      </c>
      <c r="F829">
        <v>211360</v>
      </c>
      <c r="G829">
        <v>0.68100000000000005</v>
      </c>
      <c r="H829">
        <v>208</v>
      </c>
      <c r="I829">
        <v>0.80600000000000005</v>
      </c>
      <c r="J829">
        <v>0.26600000000000001</v>
      </c>
      <c r="K829" t="s">
        <v>2293</v>
      </c>
      <c r="L829">
        <v>57</v>
      </c>
      <c r="M829">
        <v>0.879</v>
      </c>
      <c r="N829">
        <v>99.954999999999998</v>
      </c>
      <c r="O829">
        <v>0</v>
      </c>
      <c r="P829">
        <v>0</v>
      </c>
      <c r="Q829">
        <v>3</v>
      </c>
      <c r="R829" t="s">
        <v>720</v>
      </c>
      <c r="S829" t="s">
        <v>2294</v>
      </c>
      <c r="T829">
        <f>I829*-0.5+M829*0.5</f>
        <v>3.6499999999999977E-2</v>
      </c>
      <c r="U829">
        <f>I829*0.7+M829*-0.25+D829*-0.25</f>
        <v>0.23295000000000005</v>
      </c>
      <c r="V829">
        <f>J829*0.5+I829*-0.5</f>
        <v>-0.27</v>
      </c>
      <c r="W829">
        <f>M829*0.5+G829*0.25+I829*0.25</f>
        <v>0.81125000000000003</v>
      </c>
    </row>
    <row r="830" spans="1:23" x14ac:dyDescent="0.2">
      <c r="A830">
        <v>3.3599999999999998E-2</v>
      </c>
      <c r="B830">
        <v>1</v>
      </c>
      <c r="C830">
        <v>4</v>
      </c>
      <c r="D830">
        <v>8.0399999999999999E-2</v>
      </c>
      <c r="E830">
        <v>-9.2859999999999996</v>
      </c>
      <c r="F830">
        <v>279573</v>
      </c>
      <c r="G830">
        <v>0.59299999999999997</v>
      </c>
      <c r="H830">
        <v>270</v>
      </c>
      <c r="I830">
        <v>0.48199999999999998</v>
      </c>
      <c r="J830">
        <v>0.47599999999999998</v>
      </c>
      <c r="K830" t="s">
        <v>2938</v>
      </c>
      <c r="L830">
        <v>17</v>
      </c>
      <c r="M830">
        <v>0.55400000000000005</v>
      </c>
      <c r="N830">
        <v>151.953</v>
      </c>
      <c r="O830">
        <v>0</v>
      </c>
      <c r="P830">
        <v>1</v>
      </c>
      <c r="Q830">
        <v>13</v>
      </c>
      <c r="R830" t="s">
        <v>1973</v>
      </c>
      <c r="S830" t="s">
        <v>1867</v>
      </c>
      <c r="T830">
        <f>I830*-0.5+M830*0.5</f>
        <v>3.6000000000000032E-2</v>
      </c>
      <c r="U830">
        <f>I830*0.7+M830*-0.25+D830*-0.25</f>
        <v>0.17879999999999996</v>
      </c>
      <c r="V830">
        <f>J830*0.5+I830*-0.5</f>
        <v>-3.0000000000000027E-3</v>
      </c>
      <c r="W830">
        <f>M830*0.5+G830*0.25+I830*0.25</f>
        <v>0.54574999999999996</v>
      </c>
    </row>
    <row r="831" spans="1:23" x14ac:dyDescent="0.2">
      <c r="A831">
        <v>5.21E-2</v>
      </c>
      <c r="B831">
        <v>11</v>
      </c>
      <c r="C831">
        <v>4</v>
      </c>
      <c r="D831">
        <v>0.27300000000000002</v>
      </c>
      <c r="E831">
        <v>-3.9569999999999999</v>
      </c>
      <c r="F831">
        <v>203000</v>
      </c>
      <c r="G831">
        <v>0.70699999999999996</v>
      </c>
      <c r="H831">
        <v>202</v>
      </c>
      <c r="I831">
        <v>0.85399999999999998</v>
      </c>
      <c r="J831">
        <v>0.128</v>
      </c>
      <c r="K831" t="s">
        <v>1859</v>
      </c>
      <c r="L831">
        <v>6</v>
      </c>
      <c r="M831">
        <v>0.92300000000000004</v>
      </c>
      <c r="N831">
        <v>108.04900000000001</v>
      </c>
      <c r="O831">
        <v>4.37E-4</v>
      </c>
      <c r="P831">
        <v>1</v>
      </c>
      <c r="Q831">
        <v>1</v>
      </c>
      <c r="R831" t="s">
        <v>623</v>
      </c>
      <c r="S831" t="s">
        <v>1358</v>
      </c>
      <c r="T831">
        <f>I831*-0.5+M831*0.5</f>
        <v>3.4500000000000031E-2</v>
      </c>
      <c r="U831">
        <f>I831*0.7+M831*-0.25+D831*-0.25</f>
        <v>0.29879999999999995</v>
      </c>
      <c r="V831">
        <f>J831*0.5+I831*-0.5</f>
        <v>-0.36299999999999999</v>
      </c>
      <c r="W831">
        <f>M831*0.5+G831*0.25+I831*0.25</f>
        <v>0.85175000000000001</v>
      </c>
    </row>
    <row r="832" spans="1:23" x14ac:dyDescent="0.2">
      <c r="A832">
        <v>4.1500000000000002E-2</v>
      </c>
      <c r="B832">
        <v>0</v>
      </c>
      <c r="C832">
        <v>4</v>
      </c>
      <c r="D832">
        <v>0.187</v>
      </c>
      <c r="E832">
        <v>-4.2690000000000001</v>
      </c>
      <c r="F832">
        <v>171533</v>
      </c>
      <c r="G832">
        <v>0.58199999999999996</v>
      </c>
      <c r="H832">
        <v>169</v>
      </c>
      <c r="I832">
        <v>0.84599999999999997</v>
      </c>
      <c r="J832">
        <v>6.4199999999999999E-4</v>
      </c>
      <c r="K832" t="s">
        <v>1385</v>
      </c>
      <c r="L832">
        <v>10</v>
      </c>
      <c r="M832">
        <v>0.91400000000000003</v>
      </c>
      <c r="N832">
        <v>95.596999999999994</v>
      </c>
      <c r="O832">
        <v>0</v>
      </c>
      <c r="P832">
        <v>1</v>
      </c>
      <c r="Q832">
        <v>18</v>
      </c>
      <c r="R832" t="s">
        <v>292</v>
      </c>
      <c r="S832" t="s">
        <v>1386</v>
      </c>
      <c r="T832">
        <f>I832*-0.5+M832*0.5</f>
        <v>3.400000000000003E-2</v>
      </c>
      <c r="U832">
        <f>I832*0.7+M832*-0.25+D832*-0.25</f>
        <v>0.3169499999999999</v>
      </c>
      <c r="V832">
        <f>J832*0.5+I832*-0.5</f>
        <v>-0.42267899999999997</v>
      </c>
      <c r="W832">
        <f>M832*0.5+G832*0.25+I832*0.25</f>
        <v>0.81400000000000006</v>
      </c>
    </row>
    <row r="833" spans="1:23" x14ac:dyDescent="0.2">
      <c r="A833">
        <v>3.3399999999999999E-2</v>
      </c>
      <c r="B833">
        <v>1</v>
      </c>
      <c r="C833">
        <v>4</v>
      </c>
      <c r="D833">
        <v>0.19</v>
      </c>
      <c r="E833">
        <v>-4.4740000000000002</v>
      </c>
      <c r="F833">
        <v>241933</v>
      </c>
      <c r="G833">
        <v>0.81799999999999995</v>
      </c>
      <c r="H833">
        <v>239</v>
      </c>
      <c r="I833">
        <v>0.66400000000000003</v>
      </c>
      <c r="J833">
        <v>3.3500000000000002E-2</v>
      </c>
      <c r="K833" t="s">
        <v>1882</v>
      </c>
      <c r="L833">
        <v>30</v>
      </c>
      <c r="M833">
        <v>0.73199999999999998</v>
      </c>
      <c r="N833">
        <v>119.002</v>
      </c>
      <c r="O833" s="1">
        <v>4.9499999999999997E-5</v>
      </c>
      <c r="P833">
        <v>0</v>
      </c>
      <c r="Q833">
        <v>1</v>
      </c>
      <c r="R833" t="s">
        <v>1883</v>
      </c>
      <c r="S833" t="s">
        <v>1884</v>
      </c>
      <c r="T833">
        <f>I833*-0.5+M833*0.5</f>
        <v>3.3999999999999975E-2</v>
      </c>
      <c r="U833">
        <f>I833*0.7+M833*-0.25+D833*-0.25</f>
        <v>0.23430000000000001</v>
      </c>
      <c r="V833">
        <f>J833*0.5+I833*-0.5</f>
        <v>-0.31525000000000003</v>
      </c>
      <c r="W833">
        <f>M833*0.5+G833*0.25+I833*0.25</f>
        <v>0.73650000000000004</v>
      </c>
    </row>
    <row r="834" spans="1:23" x14ac:dyDescent="0.2">
      <c r="A834">
        <v>0.108</v>
      </c>
      <c r="B834">
        <v>11</v>
      </c>
      <c r="C834">
        <v>4</v>
      </c>
      <c r="D834">
        <v>0.38300000000000001</v>
      </c>
      <c r="E834">
        <v>-2.355</v>
      </c>
      <c r="F834">
        <v>204360</v>
      </c>
      <c r="G834">
        <v>0.82899999999999996</v>
      </c>
      <c r="H834">
        <v>202</v>
      </c>
      <c r="I834">
        <v>0.91400000000000003</v>
      </c>
      <c r="J834">
        <v>0.19900000000000001</v>
      </c>
      <c r="K834" t="s">
        <v>1975</v>
      </c>
      <c r="L834">
        <v>10</v>
      </c>
      <c r="M834">
        <v>0.98199999999999998</v>
      </c>
      <c r="N834">
        <v>129.89699999999999</v>
      </c>
      <c r="O834">
        <v>0</v>
      </c>
      <c r="P834">
        <v>0</v>
      </c>
      <c r="Q834">
        <v>8</v>
      </c>
      <c r="R834" t="s">
        <v>1976</v>
      </c>
      <c r="S834" t="s">
        <v>1977</v>
      </c>
      <c r="T834">
        <f>I834*-0.5+M834*0.5</f>
        <v>3.3999999999999975E-2</v>
      </c>
      <c r="U834">
        <f>I834*0.7+M834*-0.25+D834*-0.25</f>
        <v>0.29855000000000004</v>
      </c>
      <c r="V834">
        <f>J834*0.5+I834*-0.5</f>
        <v>-0.35750000000000004</v>
      </c>
      <c r="W834">
        <f>M834*0.5+G834*0.25+I834*0.25</f>
        <v>0.92675000000000007</v>
      </c>
    </row>
    <row r="835" spans="1:23" x14ac:dyDescent="0.2">
      <c r="A835">
        <v>3.5499999999999997E-2</v>
      </c>
      <c r="B835">
        <v>2</v>
      </c>
      <c r="C835">
        <v>3</v>
      </c>
      <c r="D835">
        <v>9.1300000000000006E-2</v>
      </c>
      <c r="E835">
        <v>-8.8219999999999992</v>
      </c>
      <c r="F835">
        <v>229400</v>
      </c>
      <c r="G835">
        <v>0.40699999999999997</v>
      </c>
      <c r="H835">
        <v>227</v>
      </c>
      <c r="I835">
        <v>7.9600000000000004E-2</v>
      </c>
      <c r="J835">
        <v>0.85699999999999998</v>
      </c>
      <c r="K835" t="s">
        <v>3133</v>
      </c>
      <c r="L835">
        <v>49</v>
      </c>
      <c r="M835">
        <v>0.14699999999999999</v>
      </c>
      <c r="N835">
        <v>141.28399999999999</v>
      </c>
      <c r="O835" s="1">
        <v>2.8899999999999999E-6</v>
      </c>
      <c r="P835">
        <v>1</v>
      </c>
      <c r="Q835">
        <v>6</v>
      </c>
      <c r="R835" t="s">
        <v>3134</v>
      </c>
      <c r="S835" t="s">
        <v>3135</v>
      </c>
      <c r="T835">
        <f>I835*-0.5+M835*0.5</f>
        <v>3.3699999999999994E-2</v>
      </c>
      <c r="U835">
        <f>I835*0.7+M835*-0.25+D835*-0.25</f>
        <v>-3.8550000000000008E-3</v>
      </c>
      <c r="V835">
        <f>J835*0.5+I835*-0.5</f>
        <v>0.38869999999999999</v>
      </c>
      <c r="W835">
        <f>M835*0.5+G835*0.25+I835*0.25</f>
        <v>0.19514999999999999</v>
      </c>
    </row>
    <row r="836" spans="1:23" x14ac:dyDescent="0.2">
      <c r="A836">
        <v>5.2299999999999999E-2</v>
      </c>
      <c r="B836">
        <v>7</v>
      </c>
      <c r="C836">
        <v>4</v>
      </c>
      <c r="D836">
        <v>0.19400000000000001</v>
      </c>
      <c r="E836">
        <v>-10.675000000000001</v>
      </c>
      <c r="F836">
        <v>276907</v>
      </c>
      <c r="G836">
        <v>0.68400000000000005</v>
      </c>
      <c r="H836">
        <v>273</v>
      </c>
      <c r="I836">
        <v>0.57699999999999996</v>
      </c>
      <c r="J836">
        <v>9.4E-2</v>
      </c>
      <c r="K836" t="s">
        <v>2175</v>
      </c>
      <c r="L836">
        <v>8</v>
      </c>
      <c r="M836">
        <v>0.64200000000000002</v>
      </c>
      <c r="N836">
        <v>93.010999999999996</v>
      </c>
      <c r="O836">
        <v>1.8799999999999999E-4</v>
      </c>
      <c r="P836">
        <v>1</v>
      </c>
      <c r="Q836">
        <v>9</v>
      </c>
      <c r="R836" t="s">
        <v>328</v>
      </c>
      <c r="S836" t="s">
        <v>2176</v>
      </c>
      <c r="T836">
        <f>I836*-0.5+M836*0.5</f>
        <v>3.2500000000000029E-2</v>
      </c>
      <c r="U836">
        <f>I836*0.7+M836*-0.25+D836*-0.25</f>
        <v>0.19489999999999991</v>
      </c>
      <c r="V836">
        <f>J836*0.5+I836*-0.5</f>
        <v>-0.24149999999999999</v>
      </c>
      <c r="W836">
        <f>M836*0.5+G836*0.25+I836*0.25</f>
        <v>0.63624999999999998</v>
      </c>
    </row>
    <row r="837" spans="1:23" x14ac:dyDescent="0.2">
      <c r="A837">
        <v>3.0499999999999999E-2</v>
      </c>
      <c r="B837">
        <v>4</v>
      </c>
      <c r="C837">
        <v>4</v>
      </c>
      <c r="D837">
        <v>0.17399999999999999</v>
      </c>
      <c r="E837">
        <v>-6.117</v>
      </c>
      <c r="F837">
        <v>181827</v>
      </c>
      <c r="G837">
        <v>0.77700000000000002</v>
      </c>
      <c r="H837">
        <v>180</v>
      </c>
      <c r="I837">
        <v>0.59799999999999998</v>
      </c>
      <c r="J837">
        <v>0.14599999999999999</v>
      </c>
      <c r="K837" t="s">
        <v>2287</v>
      </c>
      <c r="L837">
        <v>55</v>
      </c>
      <c r="M837">
        <v>0.66300000000000003</v>
      </c>
      <c r="N837">
        <v>118.01600000000001</v>
      </c>
      <c r="O837" s="1">
        <v>1.52E-5</v>
      </c>
      <c r="P837">
        <v>1</v>
      </c>
      <c r="Q837">
        <v>6</v>
      </c>
      <c r="R837" t="s">
        <v>2288</v>
      </c>
      <c r="S837" t="s">
        <v>2289</v>
      </c>
      <c r="T837">
        <f>I837*-0.5+M837*0.5</f>
        <v>3.2500000000000029E-2</v>
      </c>
      <c r="U837">
        <f>I837*0.7+M837*-0.25+D837*-0.25</f>
        <v>0.20934999999999998</v>
      </c>
      <c r="V837">
        <f>J837*0.5+I837*-0.5</f>
        <v>-0.22599999999999998</v>
      </c>
      <c r="W837">
        <f>M837*0.5+G837*0.25+I837*0.25</f>
        <v>0.67525000000000002</v>
      </c>
    </row>
    <row r="838" spans="1:23" x14ac:dyDescent="0.2">
      <c r="A838">
        <v>0.16400000000000001</v>
      </c>
      <c r="B838">
        <v>0</v>
      </c>
      <c r="C838">
        <v>4</v>
      </c>
      <c r="D838">
        <v>0.159</v>
      </c>
      <c r="E838">
        <v>-8.3320000000000007</v>
      </c>
      <c r="F838">
        <v>263240</v>
      </c>
      <c r="G838">
        <v>0.745</v>
      </c>
      <c r="H838">
        <v>261</v>
      </c>
      <c r="I838">
        <v>0.503</v>
      </c>
      <c r="J838">
        <v>7.5600000000000005E-4</v>
      </c>
      <c r="K838" t="s">
        <v>2026</v>
      </c>
      <c r="L838">
        <v>25</v>
      </c>
      <c r="M838">
        <v>0.56799999999999995</v>
      </c>
      <c r="N838">
        <v>144.13999999999999</v>
      </c>
      <c r="O838">
        <v>0</v>
      </c>
      <c r="P838">
        <v>1</v>
      </c>
      <c r="Q838">
        <v>11</v>
      </c>
      <c r="R838" t="s">
        <v>2027</v>
      </c>
      <c r="S838" t="s">
        <v>2028</v>
      </c>
      <c r="T838">
        <f>I838*-0.5+M838*0.5</f>
        <v>3.2499999999999973E-2</v>
      </c>
      <c r="U838">
        <f>I838*0.7+M838*-0.25+D838*-0.25</f>
        <v>0.17034999999999997</v>
      </c>
      <c r="V838">
        <f>J838*0.5+I838*-0.5</f>
        <v>-0.25112200000000001</v>
      </c>
      <c r="W838">
        <f>M838*0.5+G838*0.25+I838*0.25</f>
        <v>0.59599999999999997</v>
      </c>
    </row>
    <row r="839" spans="1:23" x14ac:dyDescent="0.2">
      <c r="A839">
        <v>6.7900000000000002E-2</v>
      </c>
      <c r="B839">
        <v>6</v>
      </c>
      <c r="C839">
        <v>4</v>
      </c>
      <c r="D839">
        <v>8.2400000000000001E-2</v>
      </c>
      <c r="E839">
        <v>-5.4029999999999996</v>
      </c>
      <c r="F839">
        <v>227347</v>
      </c>
      <c r="G839">
        <v>0.66400000000000003</v>
      </c>
      <c r="H839">
        <v>220</v>
      </c>
      <c r="I839">
        <v>0.79700000000000004</v>
      </c>
      <c r="J839">
        <v>0.378</v>
      </c>
      <c r="K839" t="s">
        <v>2558</v>
      </c>
      <c r="L839">
        <v>16</v>
      </c>
      <c r="M839">
        <v>0.86199999999999999</v>
      </c>
      <c r="N839">
        <v>91.91</v>
      </c>
      <c r="O839" s="1">
        <v>4.1899999999999997E-6</v>
      </c>
      <c r="P839">
        <v>1</v>
      </c>
      <c r="Q839">
        <v>19</v>
      </c>
      <c r="R839" t="s">
        <v>2559</v>
      </c>
      <c r="S839" t="s">
        <v>2560</v>
      </c>
      <c r="T839">
        <f>I839*-0.5+M839*0.5</f>
        <v>3.2499999999999973E-2</v>
      </c>
      <c r="U839">
        <f>I839*0.7+M839*-0.25+D839*-0.25</f>
        <v>0.32179999999999992</v>
      </c>
      <c r="V839">
        <f>J839*0.5+I839*-0.5</f>
        <v>-0.20950000000000002</v>
      </c>
      <c r="W839">
        <f>M839*0.5+G839*0.25+I839*0.25</f>
        <v>0.79625000000000001</v>
      </c>
    </row>
    <row r="840" spans="1:23" x14ac:dyDescent="0.2">
      <c r="A840">
        <v>0.215</v>
      </c>
      <c r="B840">
        <v>6</v>
      </c>
      <c r="C840">
        <v>4</v>
      </c>
      <c r="D840">
        <v>7.7499999999999999E-2</v>
      </c>
      <c r="E840">
        <v>-4.931</v>
      </c>
      <c r="F840">
        <v>224813</v>
      </c>
      <c r="G840">
        <v>0.59199999999999997</v>
      </c>
      <c r="H840">
        <v>218</v>
      </c>
      <c r="I840">
        <v>0.73599999999999999</v>
      </c>
      <c r="J840">
        <v>5.6099999999999997E-2</v>
      </c>
      <c r="K840" t="s">
        <v>1848</v>
      </c>
      <c r="L840">
        <v>59</v>
      </c>
      <c r="M840">
        <v>0.8</v>
      </c>
      <c r="N840">
        <v>89.971999999999994</v>
      </c>
      <c r="O840" s="1">
        <v>2.0099999999999998E-6</v>
      </c>
      <c r="P840">
        <v>0</v>
      </c>
      <c r="Q840">
        <v>3</v>
      </c>
      <c r="R840" t="s">
        <v>1849</v>
      </c>
      <c r="S840" t="s">
        <v>1850</v>
      </c>
      <c r="T840">
        <f>I840*-0.5+M840*0.5</f>
        <v>3.2000000000000028E-2</v>
      </c>
      <c r="U840">
        <f>I840*0.7+M840*-0.25+D840*-0.25</f>
        <v>0.295825</v>
      </c>
      <c r="V840">
        <f>J840*0.5+I840*-0.5</f>
        <v>-0.33994999999999997</v>
      </c>
      <c r="W840">
        <f>M840*0.5+G840*0.25+I840*0.25</f>
        <v>0.73199999999999998</v>
      </c>
    </row>
    <row r="841" spans="1:23" x14ac:dyDescent="0.2">
      <c r="A841">
        <v>6.7699999999999996E-2</v>
      </c>
      <c r="B841">
        <v>11</v>
      </c>
      <c r="C841">
        <v>4</v>
      </c>
      <c r="D841">
        <v>0.41899999999999998</v>
      </c>
      <c r="E841">
        <v>-3.8730000000000002</v>
      </c>
      <c r="F841">
        <v>205693</v>
      </c>
      <c r="G841">
        <v>0.53</v>
      </c>
      <c r="H841">
        <v>204</v>
      </c>
      <c r="I841">
        <v>0.77200000000000002</v>
      </c>
      <c r="J841">
        <v>7.8700000000000006E-2</v>
      </c>
      <c r="K841" t="s">
        <v>1860</v>
      </c>
      <c r="L841">
        <v>58</v>
      </c>
      <c r="M841">
        <v>0.83599999999999997</v>
      </c>
      <c r="N841">
        <v>72.754000000000005</v>
      </c>
      <c r="O841">
        <v>0</v>
      </c>
      <c r="P841">
        <v>0</v>
      </c>
      <c r="Q841">
        <v>19</v>
      </c>
      <c r="R841" t="s">
        <v>1861</v>
      </c>
      <c r="S841" t="s">
        <v>1862</v>
      </c>
      <c r="T841">
        <f>I841*-0.5+M841*0.5</f>
        <v>3.1999999999999973E-2</v>
      </c>
      <c r="U841">
        <f>I841*0.7+M841*-0.25+D841*-0.25</f>
        <v>0.22665000000000002</v>
      </c>
      <c r="V841">
        <f>J841*0.5+I841*-0.5</f>
        <v>-0.34665000000000001</v>
      </c>
      <c r="W841">
        <f>M841*0.5+G841*0.25+I841*0.25</f>
        <v>0.74350000000000005</v>
      </c>
    </row>
    <row r="842" spans="1:23" x14ac:dyDescent="0.2">
      <c r="A842">
        <v>5.1799999999999999E-2</v>
      </c>
      <c r="B842">
        <v>11</v>
      </c>
      <c r="C842">
        <v>4</v>
      </c>
      <c r="D842">
        <v>0.45700000000000002</v>
      </c>
      <c r="E842">
        <v>-3.4670000000000001</v>
      </c>
      <c r="F842">
        <v>183280</v>
      </c>
      <c r="G842">
        <v>0.56299999999999994</v>
      </c>
      <c r="H842">
        <v>184</v>
      </c>
      <c r="I842">
        <v>0.90800000000000003</v>
      </c>
      <c r="J842">
        <v>2.06E-2</v>
      </c>
      <c r="K842" t="s">
        <v>1348</v>
      </c>
      <c r="L842">
        <v>8</v>
      </c>
      <c r="M842">
        <v>0.97199999999999998</v>
      </c>
      <c r="N842">
        <v>82.337000000000003</v>
      </c>
      <c r="O842" s="1">
        <v>1.3E-6</v>
      </c>
      <c r="P842">
        <v>0</v>
      </c>
      <c r="Q842">
        <v>15</v>
      </c>
      <c r="R842" t="s">
        <v>1349</v>
      </c>
      <c r="S842" t="s">
        <v>1350</v>
      </c>
      <c r="T842">
        <f>I842*-0.5+M842*0.5</f>
        <v>3.1999999999999973E-2</v>
      </c>
      <c r="U842">
        <f>I842*0.7+M842*-0.25+D842*-0.25</f>
        <v>0.27834999999999993</v>
      </c>
      <c r="V842">
        <f>J842*0.5+I842*-0.5</f>
        <v>-0.44370000000000004</v>
      </c>
      <c r="W842">
        <f>M842*0.5+G842*0.25+I842*0.25</f>
        <v>0.8537499999999999</v>
      </c>
    </row>
    <row r="843" spans="1:23" x14ac:dyDescent="0.2">
      <c r="A843">
        <v>3.6200000000000003E-2</v>
      </c>
      <c r="B843">
        <v>0</v>
      </c>
      <c r="C843">
        <v>4</v>
      </c>
      <c r="D843">
        <v>0.2</v>
      </c>
      <c r="E843">
        <v>-7.0970000000000004</v>
      </c>
      <c r="F843">
        <v>183160</v>
      </c>
      <c r="G843">
        <v>0.53600000000000003</v>
      </c>
      <c r="H843">
        <v>182</v>
      </c>
      <c r="I843">
        <v>0.54400000000000004</v>
      </c>
      <c r="J843">
        <v>8.4599999999999995E-2</v>
      </c>
      <c r="K843" t="s">
        <v>2198</v>
      </c>
      <c r="L843">
        <v>2</v>
      </c>
      <c r="M843">
        <v>0.60699999999999998</v>
      </c>
      <c r="N843">
        <v>142.24100000000001</v>
      </c>
      <c r="O843" s="1">
        <v>6.0399999999999998E-5</v>
      </c>
      <c r="P843">
        <v>1</v>
      </c>
      <c r="Q843">
        <v>5</v>
      </c>
      <c r="R843" t="s">
        <v>232</v>
      </c>
      <c r="S843" t="s">
        <v>2199</v>
      </c>
      <c r="T843">
        <f>I843*-0.5+M843*0.5</f>
        <v>3.1499999999999972E-2</v>
      </c>
      <c r="U843">
        <f>I843*0.7+M843*-0.25+D843*-0.25</f>
        <v>0.17905000000000004</v>
      </c>
      <c r="V843">
        <f>J843*0.5+I843*-0.5</f>
        <v>-0.22970000000000002</v>
      </c>
      <c r="W843">
        <f>M843*0.5+G843*0.25+I843*0.25</f>
        <v>0.57350000000000001</v>
      </c>
    </row>
    <row r="844" spans="1:23" x14ac:dyDescent="0.2">
      <c r="A844">
        <v>3.8199999999999998E-2</v>
      </c>
      <c r="B844">
        <v>11</v>
      </c>
      <c r="C844">
        <v>4</v>
      </c>
      <c r="D844">
        <v>0.217</v>
      </c>
      <c r="E844">
        <v>-4.1550000000000002</v>
      </c>
      <c r="F844">
        <v>235520</v>
      </c>
      <c r="G844">
        <v>0.78</v>
      </c>
      <c r="H844">
        <v>232</v>
      </c>
      <c r="I844">
        <v>0.65100000000000002</v>
      </c>
      <c r="J844">
        <v>0.11899999999999999</v>
      </c>
      <c r="K844" t="s">
        <v>2154</v>
      </c>
      <c r="L844">
        <v>37</v>
      </c>
      <c r="M844">
        <v>0.71399999999999997</v>
      </c>
      <c r="N844">
        <v>125.92400000000001</v>
      </c>
      <c r="O844" s="1">
        <v>4.0999999999999997E-6</v>
      </c>
      <c r="P844">
        <v>0</v>
      </c>
      <c r="Q844">
        <v>6</v>
      </c>
      <c r="R844" t="s">
        <v>638</v>
      </c>
      <c r="S844" t="s">
        <v>2155</v>
      </c>
      <c r="T844">
        <f>I844*-0.5+M844*0.5</f>
        <v>3.1499999999999972E-2</v>
      </c>
      <c r="U844">
        <f>I844*0.7+M844*-0.25+D844*-0.25</f>
        <v>0.22295000000000001</v>
      </c>
      <c r="V844">
        <f>J844*0.5+I844*-0.5</f>
        <v>-0.26600000000000001</v>
      </c>
      <c r="W844">
        <f>M844*0.5+G844*0.25+I844*0.25</f>
        <v>0.71475</v>
      </c>
    </row>
    <row r="845" spans="1:23" x14ac:dyDescent="0.2">
      <c r="A845">
        <v>3.3099999999999997E-2</v>
      </c>
      <c r="B845">
        <v>0</v>
      </c>
      <c r="C845">
        <v>4</v>
      </c>
      <c r="D845">
        <v>0.25800000000000001</v>
      </c>
      <c r="E845">
        <v>-8.4659999999999993</v>
      </c>
      <c r="F845">
        <v>226973</v>
      </c>
      <c r="G845">
        <v>0.59099999999999997</v>
      </c>
      <c r="H845">
        <v>226</v>
      </c>
      <c r="I845">
        <v>0.34399999999999997</v>
      </c>
      <c r="J845">
        <v>0.83899999999999997</v>
      </c>
      <c r="K845" t="s">
        <v>3106</v>
      </c>
      <c r="L845">
        <v>23</v>
      </c>
      <c r="M845">
        <v>0.40600000000000003</v>
      </c>
      <c r="N845">
        <v>143.869</v>
      </c>
      <c r="O845">
        <v>0</v>
      </c>
      <c r="P845">
        <v>0</v>
      </c>
      <c r="Q845">
        <v>12</v>
      </c>
      <c r="R845" t="s">
        <v>638</v>
      </c>
      <c r="S845" t="s">
        <v>3107</v>
      </c>
      <c r="T845">
        <f>I845*-0.5+M845*0.5</f>
        <v>3.1000000000000028E-2</v>
      </c>
      <c r="U845">
        <f>I845*0.7+M845*-0.25+D845*-0.25</f>
        <v>7.479999999999995E-2</v>
      </c>
      <c r="V845">
        <f>J845*0.5+I845*-0.5</f>
        <v>0.2475</v>
      </c>
      <c r="W845">
        <f>M845*0.5+G845*0.25+I845*0.25</f>
        <v>0.43674999999999997</v>
      </c>
    </row>
    <row r="846" spans="1:23" x14ac:dyDescent="0.2">
      <c r="A846">
        <v>4.3900000000000002E-2</v>
      </c>
      <c r="B846">
        <v>4</v>
      </c>
      <c r="C846">
        <v>4</v>
      </c>
      <c r="D846">
        <v>0.315</v>
      </c>
      <c r="E846">
        <v>-5.4409999999999998</v>
      </c>
      <c r="F846">
        <v>223800</v>
      </c>
      <c r="G846">
        <v>0.69299999999999995</v>
      </c>
      <c r="H846">
        <v>218</v>
      </c>
      <c r="I846">
        <v>0.76</v>
      </c>
      <c r="J846">
        <v>6.1599999999999997E-3</v>
      </c>
      <c r="K846" t="s">
        <v>1648</v>
      </c>
      <c r="L846">
        <v>45</v>
      </c>
      <c r="M846">
        <v>0.82199999999999995</v>
      </c>
      <c r="N846">
        <v>126.035</v>
      </c>
      <c r="O846" s="1">
        <v>1.79E-6</v>
      </c>
      <c r="P846">
        <v>0</v>
      </c>
      <c r="Q846">
        <v>2</v>
      </c>
      <c r="R846" t="s">
        <v>916</v>
      </c>
      <c r="S846" t="s">
        <v>1649</v>
      </c>
      <c r="T846">
        <f>I846*-0.5+M846*0.5</f>
        <v>3.0999999999999972E-2</v>
      </c>
      <c r="U846">
        <f>I846*0.7+M846*-0.25+D846*-0.25</f>
        <v>0.24774999999999991</v>
      </c>
      <c r="V846">
        <f>J846*0.5+I846*-0.5</f>
        <v>-0.37691999999999998</v>
      </c>
      <c r="W846">
        <f>M846*0.5+G846*0.25+I846*0.25</f>
        <v>0.77424999999999988</v>
      </c>
    </row>
    <row r="847" spans="1:23" x14ac:dyDescent="0.2">
      <c r="A847">
        <v>6.08E-2</v>
      </c>
      <c r="B847">
        <v>6</v>
      </c>
      <c r="C847">
        <v>4</v>
      </c>
      <c r="D847">
        <v>0.104</v>
      </c>
      <c r="E847">
        <v>-5.032</v>
      </c>
      <c r="F847">
        <v>221720</v>
      </c>
      <c r="G847">
        <v>0.42799999999999999</v>
      </c>
      <c r="H847">
        <v>219</v>
      </c>
      <c r="I847">
        <v>0.72</v>
      </c>
      <c r="J847">
        <v>1.23E-2</v>
      </c>
      <c r="K847" t="s">
        <v>1751</v>
      </c>
      <c r="L847">
        <v>23</v>
      </c>
      <c r="M847">
        <v>0.78100000000000003</v>
      </c>
      <c r="N847">
        <v>82.352999999999994</v>
      </c>
      <c r="O847" s="1">
        <v>1.47E-5</v>
      </c>
      <c r="P847">
        <v>0</v>
      </c>
      <c r="Q847">
        <v>13</v>
      </c>
      <c r="R847" t="s">
        <v>324</v>
      </c>
      <c r="S847" t="s">
        <v>1752</v>
      </c>
      <c r="T847">
        <f>I847*-0.5+M847*0.5</f>
        <v>3.0500000000000027E-2</v>
      </c>
      <c r="U847">
        <f>I847*0.7+M847*-0.25+D847*-0.25</f>
        <v>0.28274999999999995</v>
      </c>
      <c r="V847">
        <f>J847*0.5+I847*-0.5</f>
        <v>-0.35385</v>
      </c>
      <c r="W847">
        <f>M847*0.5+G847*0.25+I847*0.25</f>
        <v>0.67749999999999999</v>
      </c>
    </row>
    <row r="848" spans="1:23" x14ac:dyDescent="0.2">
      <c r="A848">
        <v>4.4499999999999998E-2</v>
      </c>
      <c r="B848">
        <v>5</v>
      </c>
      <c r="C848">
        <v>4</v>
      </c>
      <c r="D848">
        <v>0.107</v>
      </c>
      <c r="E848">
        <v>-3.8660000000000001</v>
      </c>
      <c r="F848">
        <v>196053</v>
      </c>
      <c r="G848">
        <v>0.71199999999999997</v>
      </c>
      <c r="H848">
        <v>193</v>
      </c>
      <c r="I848">
        <v>0.85</v>
      </c>
      <c r="J848">
        <v>0.68899999999999995</v>
      </c>
      <c r="K848" t="s">
        <v>2974</v>
      </c>
      <c r="L848">
        <v>28</v>
      </c>
      <c r="M848">
        <v>0.91100000000000003</v>
      </c>
      <c r="N848">
        <v>117.533</v>
      </c>
      <c r="O848" s="1">
        <v>8.0199999999999994E-6</v>
      </c>
      <c r="P848">
        <v>0</v>
      </c>
      <c r="Q848">
        <v>2</v>
      </c>
      <c r="R848" t="s">
        <v>623</v>
      </c>
      <c r="S848" t="s">
        <v>2975</v>
      </c>
      <c r="T848">
        <f>I848*-0.5+M848*0.5</f>
        <v>3.0500000000000027E-2</v>
      </c>
      <c r="U848">
        <f>I848*0.7+M848*-0.25+D848*-0.25</f>
        <v>0.34049999999999997</v>
      </c>
      <c r="V848">
        <f>J848*0.5+I848*-0.5</f>
        <v>-8.0500000000000016E-2</v>
      </c>
      <c r="W848">
        <f>M848*0.5+G848*0.25+I848*0.25</f>
        <v>0.84599999999999997</v>
      </c>
    </row>
    <row r="849" spans="1:23" x14ac:dyDescent="0.2">
      <c r="A849">
        <v>3.3700000000000001E-2</v>
      </c>
      <c r="B849">
        <v>5</v>
      </c>
      <c r="C849">
        <v>4</v>
      </c>
      <c r="D849">
        <v>0.111</v>
      </c>
      <c r="E849">
        <v>-6.1420000000000003</v>
      </c>
      <c r="F849">
        <v>223240</v>
      </c>
      <c r="G849">
        <v>0.46600000000000003</v>
      </c>
      <c r="H849">
        <v>221</v>
      </c>
      <c r="I849">
        <v>0.34200000000000003</v>
      </c>
      <c r="J849">
        <v>0.39500000000000002</v>
      </c>
      <c r="K849" t="s">
        <v>2941</v>
      </c>
      <c r="L849">
        <v>49</v>
      </c>
      <c r="M849">
        <v>0.40300000000000002</v>
      </c>
      <c r="N849">
        <v>119.81</v>
      </c>
      <c r="O849">
        <v>0</v>
      </c>
      <c r="P849">
        <v>1</v>
      </c>
      <c r="Q849">
        <v>3</v>
      </c>
      <c r="R849" t="s">
        <v>827</v>
      </c>
      <c r="S849" t="s">
        <v>2942</v>
      </c>
      <c r="T849">
        <f>I849*-0.5+M849*0.5</f>
        <v>3.0499999999999999E-2</v>
      </c>
      <c r="U849">
        <f>I849*0.7+M849*-0.25+D849*-0.25</f>
        <v>0.1109</v>
      </c>
      <c r="V849">
        <f>J849*0.5+I849*-0.5</f>
        <v>2.6499999999999996E-2</v>
      </c>
      <c r="W849">
        <f>M849*0.5+G849*0.25+I849*0.25</f>
        <v>0.40350000000000003</v>
      </c>
    </row>
    <row r="850" spans="1:23" x14ac:dyDescent="0.2">
      <c r="A850">
        <v>0.16600000000000001</v>
      </c>
      <c r="B850">
        <v>0</v>
      </c>
      <c r="C850">
        <v>4</v>
      </c>
      <c r="D850">
        <v>9.2399999999999996E-2</v>
      </c>
      <c r="E850">
        <v>-4.2590000000000003</v>
      </c>
      <c r="F850">
        <v>217603</v>
      </c>
      <c r="G850">
        <v>0.58399999999999996</v>
      </c>
      <c r="H850">
        <v>214</v>
      </c>
      <c r="I850">
        <v>0.50800000000000001</v>
      </c>
      <c r="J850">
        <v>5.0799999999999998E-2</v>
      </c>
      <c r="K850" t="s">
        <v>2171</v>
      </c>
      <c r="L850">
        <v>61</v>
      </c>
      <c r="M850">
        <v>0.56899999999999995</v>
      </c>
      <c r="N850">
        <v>89.778999999999996</v>
      </c>
      <c r="O850">
        <v>0</v>
      </c>
      <c r="P850">
        <v>1</v>
      </c>
      <c r="Q850">
        <v>11</v>
      </c>
      <c r="R850" t="s">
        <v>2172</v>
      </c>
      <c r="S850" t="s">
        <v>741</v>
      </c>
      <c r="T850">
        <f>I850*-0.5+M850*0.5</f>
        <v>3.0499999999999972E-2</v>
      </c>
      <c r="U850">
        <f>I850*0.7+M850*-0.25+D850*-0.25</f>
        <v>0.19024999999999997</v>
      </c>
      <c r="V850">
        <f>J850*0.5+I850*-0.5</f>
        <v>-0.2286</v>
      </c>
      <c r="W850">
        <f>M850*0.5+G850*0.25+I850*0.25</f>
        <v>0.5575</v>
      </c>
    </row>
    <row r="851" spans="1:23" x14ac:dyDescent="0.2">
      <c r="A851">
        <v>0.25800000000000001</v>
      </c>
      <c r="B851">
        <v>0</v>
      </c>
      <c r="C851">
        <v>4</v>
      </c>
      <c r="D851">
        <v>9.7000000000000003E-2</v>
      </c>
      <c r="E851">
        <v>-4.8620000000000001</v>
      </c>
      <c r="F851">
        <v>217419</v>
      </c>
      <c r="G851">
        <v>0.63500000000000001</v>
      </c>
      <c r="H851">
        <v>213</v>
      </c>
      <c r="I851">
        <v>0.63</v>
      </c>
      <c r="J851">
        <v>0.55500000000000005</v>
      </c>
      <c r="K851" t="s">
        <v>2951</v>
      </c>
      <c r="L851">
        <v>53</v>
      </c>
      <c r="M851">
        <v>0.69099999999999995</v>
      </c>
      <c r="N851">
        <v>82.141999999999996</v>
      </c>
      <c r="O851">
        <v>0</v>
      </c>
      <c r="P851">
        <v>1</v>
      </c>
      <c r="Q851">
        <v>10</v>
      </c>
      <c r="R851" t="s">
        <v>734</v>
      </c>
      <c r="S851" t="s">
        <v>2952</v>
      </c>
      <c r="T851">
        <f>I851*-0.5+M851*0.5</f>
        <v>3.0499999999999972E-2</v>
      </c>
      <c r="U851">
        <f>I851*0.7+M851*-0.25+D851*-0.25</f>
        <v>0.24399999999999999</v>
      </c>
      <c r="V851">
        <f>J851*0.5+I851*-0.5</f>
        <v>-3.7499999999999978E-2</v>
      </c>
      <c r="W851">
        <f>M851*0.5+G851*0.25+I851*0.25</f>
        <v>0.66174999999999995</v>
      </c>
    </row>
    <row r="852" spans="1:23" x14ac:dyDescent="0.2">
      <c r="A852">
        <v>4.48E-2</v>
      </c>
      <c r="B852">
        <v>4</v>
      </c>
      <c r="C852">
        <v>4</v>
      </c>
      <c r="D852">
        <v>0.251</v>
      </c>
      <c r="E852">
        <v>-3.4249999999999998</v>
      </c>
      <c r="F852">
        <v>208107</v>
      </c>
      <c r="G852">
        <v>0.64500000000000002</v>
      </c>
      <c r="H852">
        <v>205</v>
      </c>
      <c r="I852">
        <v>0.88</v>
      </c>
      <c r="J852">
        <v>0.16900000000000001</v>
      </c>
      <c r="K852" t="s">
        <v>1972</v>
      </c>
      <c r="L852">
        <v>27</v>
      </c>
      <c r="M852">
        <v>0.94099999999999995</v>
      </c>
      <c r="N852">
        <v>106.015</v>
      </c>
      <c r="O852">
        <v>0</v>
      </c>
      <c r="P852">
        <v>0</v>
      </c>
      <c r="Q852">
        <v>17</v>
      </c>
      <c r="R852" t="s">
        <v>1973</v>
      </c>
      <c r="S852" t="s">
        <v>1974</v>
      </c>
      <c r="T852">
        <f>I852*-0.5+M852*0.5</f>
        <v>3.0499999999999972E-2</v>
      </c>
      <c r="U852">
        <f>I852*0.7+M852*-0.25+D852*-0.25</f>
        <v>0.31800000000000006</v>
      </c>
      <c r="V852">
        <f>J852*0.5+I852*-0.5</f>
        <v>-0.35549999999999998</v>
      </c>
      <c r="W852">
        <f>M852*0.5+G852*0.25+I852*0.25</f>
        <v>0.85175000000000001</v>
      </c>
    </row>
    <row r="853" spans="1:23" x14ac:dyDescent="0.2">
      <c r="A853">
        <v>8.8800000000000004E-2</v>
      </c>
      <c r="B853">
        <v>1</v>
      </c>
      <c r="C853">
        <v>4</v>
      </c>
      <c r="D853">
        <v>9.9199999999999997E-2</v>
      </c>
      <c r="E853">
        <v>-3.7090000000000001</v>
      </c>
      <c r="F853">
        <v>272080</v>
      </c>
      <c r="G853">
        <v>0.879</v>
      </c>
      <c r="H853">
        <v>216</v>
      </c>
      <c r="I853">
        <v>0.58299999999999996</v>
      </c>
      <c r="J853">
        <v>6.0299999999999998E-3</v>
      </c>
      <c r="K853" t="s">
        <v>1947</v>
      </c>
      <c r="L853">
        <v>20</v>
      </c>
      <c r="M853">
        <v>0.64300000000000002</v>
      </c>
      <c r="N853">
        <v>120.012</v>
      </c>
      <c r="O853" s="1">
        <v>1.42E-6</v>
      </c>
      <c r="P853">
        <v>1</v>
      </c>
      <c r="Q853">
        <v>3</v>
      </c>
      <c r="R853" t="s">
        <v>1948</v>
      </c>
      <c r="S853" t="s">
        <v>1949</v>
      </c>
      <c r="T853">
        <f>I853*-0.5+M853*0.5</f>
        <v>3.0000000000000027E-2</v>
      </c>
      <c r="U853">
        <f>I853*0.7+M853*-0.25+D853*-0.25</f>
        <v>0.22254999999999997</v>
      </c>
      <c r="V853">
        <f>J853*0.5+I853*-0.5</f>
        <v>-0.28848499999999999</v>
      </c>
      <c r="W853">
        <f>M853*0.5+G853*0.25+I853*0.25</f>
        <v>0.68700000000000006</v>
      </c>
    </row>
    <row r="854" spans="1:23" x14ac:dyDescent="0.2">
      <c r="A854">
        <v>4.0300000000000002E-2</v>
      </c>
      <c r="B854">
        <v>0</v>
      </c>
      <c r="C854">
        <v>4</v>
      </c>
      <c r="D854">
        <v>0.12</v>
      </c>
      <c r="E854">
        <v>-2.306</v>
      </c>
      <c r="F854">
        <v>179813</v>
      </c>
      <c r="G854">
        <v>0.53700000000000003</v>
      </c>
      <c r="H854">
        <v>163</v>
      </c>
      <c r="I854">
        <v>0.82199999999999995</v>
      </c>
      <c r="J854">
        <v>3.4200000000000002E-4</v>
      </c>
      <c r="K854" t="s">
        <v>1498</v>
      </c>
      <c r="L854">
        <v>23</v>
      </c>
      <c r="M854">
        <v>0.88200000000000001</v>
      </c>
      <c r="N854">
        <v>145.72900000000001</v>
      </c>
      <c r="O854" s="1">
        <v>9.0600000000000007E-5</v>
      </c>
      <c r="P854">
        <v>1</v>
      </c>
      <c r="Q854">
        <v>17</v>
      </c>
      <c r="R854" t="s">
        <v>1499</v>
      </c>
      <c r="S854" t="s">
        <v>1500</v>
      </c>
      <c r="T854">
        <f>I854*-0.5+M854*0.5</f>
        <v>3.0000000000000027E-2</v>
      </c>
      <c r="U854">
        <f>I854*0.7+M854*-0.25+D854*-0.25</f>
        <v>0.32489999999999986</v>
      </c>
      <c r="V854">
        <f>J854*0.5+I854*-0.5</f>
        <v>-0.410829</v>
      </c>
      <c r="W854">
        <f>M854*0.5+G854*0.25+I854*0.25</f>
        <v>0.78075000000000006</v>
      </c>
    </row>
    <row r="855" spans="1:23" x14ac:dyDescent="0.2">
      <c r="A855">
        <v>8.0399999999999999E-2</v>
      </c>
      <c r="B855">
        <v>0</v>
      </c>
      <c r="C855">
        <v>4</v>
      </c>
      <c r="D855">
        <v>0.36</v>
      </c>
      <c r="E855">
        <v>-4.1660000000000004</v>
      </c>
      <c r="F855">
        <v>192440</v>
      </c>
      <c r="G855">
        <v>0.68200000000000005</v>
      </c>
      <c r="H855">
        <v>192</v>
      </c>
      <c r="I855">
        <v>0.82899999999999996</v>
      </c>
      <c r="J855">
        <v>5.64E-3</v>
      </c>
      <c r="K855" t="s">
        <v>1508</v>
      </c>
      <c r="L855">
        <v>35</v>
      </c>
      <c r="M855">
        <v>0.88900000000000001</v>
      </c>
      <c r="N855">
        <v>138.02099999999999</v>
      </c>
      <c r="O855">
        <v>0</v>
      </c>
      <c r="P855">
        <v>1</v>
      </c>
      <c r="Q855">
        <v>14</v>
      </c>
      <c r="R855" t="s">
        <v>1509</v>
      </c>
      <c r="S855" t="s">
        <v>1510</v>
      </c>
      <c r="T855">
        <f>I855*-0.5+M855*0.5</f>
        <v>3.0000000000000027E-2</v>
      </c>
      <c r="U855">
        <f>I855*0.7+M855*-0.25+D855*-0.25</f>
        <v>0.2680499999999999</v>
      </c>
      <c r="V855">
        <f>J855*0.5+I855*-0.5</f>
        <v>-0.41167999999999999</v>
      </c>
      <c r="W855">
        <f>M855*0.5+G855*0.25+I855*0.25</f>
        <v>0.82224999999999993</v>
      </c>
    </row>
    <row r="856" spans="1:23" x14ac:dyDescent="0.2">
      <c r="A856">
        <v>6.6699999999999995E-2</v>
      </c>
      <c r="B856">
        <v>0</v>
      </c>
      <c r="C856">
        <v>4</v>
      </c>
      <c r="D856">
        <v>0.30499999999999999</v>
      </c>
      <c r="E856">
        <v>-3.3969999999999998</v>
      </c>
      <c r="F856">
        <v>230307</v>
      </c>
      <c r="G856">
        <v>0.56000000000000005</v>
      </c>
      <c r="H856">
        <v>226</v>
      </c>
      <c r="I856">
        <v>0.877</v>
      </c>
      <c r="J856">
        <v>4.1099999999999998E-2</v>
      </c>
      <c r="K856" t="s">
        <v>1553</v>
      </c>
      <c r="L856">
        <v>28</v>
      </c>
      <c r="M856">
        <v>0.93700000000000006</v>
      </c>
      <c r="N856">
        <v>149.93600000000001</v>
      </c>
      <c r="O856" s="1">
        <v>9.9899999999999992E-6</v>
      </c>
      <c r="P856">
        <v>1</v>
      </c>
      <c r="Q856">
        <v>15</v>
      </c>
      <c r="R856" t="s">
        <v>1554</v>
      </c>
      <c r="S856" t="s">
        <v>1555</v>
      </c>
      <c r="T856">
        <f>I856*-0.5+M856*0.5</f>
        <v>3.0000000000000027E-2</v>
      </c>
      <c r="U856">
        <f>I856*0.7+M856*-0.25+D856*-0.25</f>
        <v>0.3034</v>
      </c>
      <c r="V856">
        <f>J856*0.5+I856*-0.5</f>
        <v>-0.41794999999999999</v>
      </c>
      <c r="W856">
        <f>M856*0.5+G856*0.25+I856*0.25</f>
        <v>0.82774999999999999</v>
      </c>
    </row>
    <row r="857" spans="1:23" x14ac:dyDescent="0.2">
      <c r="A857">
        <v>0.104</v>
      </c>
      <c r="B857">
        <v>2</v>
      </c>
      <c r="C857">
        <v>4</v>
      </c>
      <c r="D857">
        <v>0.10299999999999999</v>
      </c>
      <c r="E857">
        <v>-4.2050000000000001</v>
      </c>
      <c r="F857">
        <v>217440</v>
      </c>
      <c r="G857">
        <v>0.5</v>
      </c>
      <c r="H857">
        <v>215</v>
      </c>
      <c r="I857">
        <v>0.74299999999999999</v>
      </c>
      <c r="J857">
        <v>5.3499999999999999E-2</v>
      </c>
      <c r="K857" t="s">
        <v>1851</v>
      </c>
      <c r="L857">
        <v>17</v>
      </c>
      <c r="M857">
        <v>0.80200000000000005</v>
      </c>
      <c r="N857">
        <v>174.03899999999999</v>
      </c>
      <c r="O857">
        <v>0</v>
      </c>
      <c r="P857">
        <v>1</v>
      </c>
      <c r="Q857">
        <v>16</v>
      </c>
      <c r="R857" t="s">
        <v>1852</v>
      </c>
      <c r="S857" t="s">
        <v>1853</v>
      </c>
      <c r="T857">
        <f>I857*-0.5+M857*0.5</f>
        <v>2.9500000000000026E-2</v>
      </c>
      <c r="U857">
        <f>I857*0.7+M857*-0.25+D857*-0.25</f>
        <v>0.29385</v>
      </c>
      <c r="V857">
        <f>J857*0.5+I857*-0.5</f>
        <v>-0.34475</v>
      </c>
      <c r="W857">
        <f>M857*0.5+G857*0.25+I857*0.25</f>
        <v>0.71174999999999999</v>
      </c>
    </row>
    <row r="858" spans="1:23" x14ac:dyDescent="0.2">
      <c r="A858">
        <v>3.6999999999999998E-2</v>
      </c>
      <c r="B858">
        <v>9</v>
      </c>
      <c r="C858">
        <v>4</v>
      </c>
      <c r="D858">
        <v>0.152</v>
      </c>
      <c r="E858">
        <v>-5.6109999999999998</v>
      </c>
      <c r="F858">
        <v>213733</v>
      </c>
      <c r="G858">
        <v>0.61399999999999999</v>
      </c>
      <c r="H858">
        <v>213</v>
      </c>
      <c r="I858">
        <v>0.65700000000000003</v>
      </c>
      <c r="J858">
        <v>9.8799999999999995E-4</v>
      </c>
      <c r="K858" t="s">
        <v>1832</v>
      </c>
      <c r="L858">
        <v>46</v>
      </c>
      <c r="M858">
        <v>0.71499999999999997</v>
      </c>
      <c r="N858">
        <v>106.953</v>
      </c>
      <c r="O858">
        <v>4.0099999999999999E-4</v>
      </c>
      <c r="P858">
        <v>0</v>
      </c>
      <c r="Q858">
        <v>17</v>
      </c>
      <c r="R858" t="s">
        <v>1833</v>
      </c>
      <c r="S858" t="s">
        <v>1834</v>
      </c>
      <c r="T858">
        <f>I858*-0.5+M858*0.5</f>
        <v>2.899999999999997E-2</v>
      </c>
      <c r="U858">
        <f>I858*0.7+M858*-0.25+D858*-0.25</f>
        <v>0.24315000000000001</v>
      </c>
      <c r="V858">
        <f>J858*0.5+I858*-0.5</f>
        <v>-0.32800600000000002</v>
      </c>
      <c r="W858">
        <f>M858*0.5+G858*0.25+I858*0.25</f>
        <v>0.67525000000000002</v>
      </c>
    </row>
    <row r="859" spans="1:23" x14ac:dyDescent="0.2">
      <c r="A859">
        <v>0.35699999999999998</v>
      </c>
      <c r="B859">
        <v>6</v>
      </c>
      <c r="C859">
        <v>4</v>
      </c>
      <c r="D859">
        <v>0.111</v>
      </c>
      <c r="E859">
        <v>-4.774</v>
      </c>
      <c r="F859">
        <v>213760</v>
      </c>
      <c r="G859">
        <v>0.745</v>
      </c>
      <c r="H859">
        <v>213</v>
      </c>
      <c r="I859">
        <v>0.78300000000000003</v>
      </c>
      <c r="J859">
        <v>0.35799999999999998</v>
      </c>
      <c r="K859" t="s">
        <v>2555</v>
      </c>
      <c r="L859">
        <v>15</v>
      </c>
      <c r="M859">
        <v>0.84099999999999997</v>
      </c>
      <c r="N859">
        <v>97.909000000000006</v>
      </c>
      <c r="O859">
        <v>0</v>
      </c>
      <c r="P859">
        <v>1</v>
      </c>
      <c r="Q859">
        <v>3</v>
      </c>
      <c r="R859" t="s">
        <v>2556</v>
      </c>
      <c r="S859" t="s">
        <v>2557</v>
      </c>
      <c r="T859">
        <f>I859*-0.5+M859*0.5</f>
        <v>2.899999999999997E-2</v>
      </c>
      <c r="U859">
        <f>I859*0.7+M859*-0.25+D859*-0.25</f>
        <v>0.31010000000000004</v>
      </c>
      <c r="V859">
        <f>J859*0.5+I859*-0.5</f>
        <v>-0.21250000000000002</v>
      </c>
      <c r="W859">
        <f>M859*0.5+G859*0.25+I859*0.25</f>
        <v>0.80249999999999999</v>
      </c>
    </row>
    <row r="860" spans="1:23" x14ac:dyDescent="0.2">
      <c r="A860">
        <v>3.0099999999999998E-2</v>
      </c>
      <c r="B860">
        <v>4</v>
      </c>
      <c r="C860">
        <v>4</v>
      </c>
      <c r="D860">
        <v>0.12</v>
      </c>
      <c r="E860">
        <v>-5.6360000000000001</v>
      </c>
      <c r="F860">
        <v>213520</v>
      </c>
      <c r="G860">
        <v>0.61599999999999999</v>
      </c>
      <c r="H860">
        <v>210</v>
      </c>
      <c r="I860">
        <v>0.69099999999999995</v>
      </c>
      <c r="J860">
        <v>1.49E-2</v>
      </c>
      <c r="K860" t="s">
        <v>1829</v>
      </c>
      <c r="L860">
        <v>40</v>
      </c>
      <c r="M860">
        <v>0.748</v>
      </c>
      <c r="N860">
        <v>117.054</v>
      </c>
      <c r="O860" s="1">
        <v>2.8399999999999999E-6</v>
      </c>
      <c r="P860">
        <v>1</v>
      </c>
      <c r="Q860">
        <v>17</v>
      </c>
      <c r="R860" t="s">
        <v>1830</v>
      </c>
      <c r="S860" t="s">
        <v>1831</v>
      </c>
      <c r="T860">
        <f>I860*-0.5+M860*0.5</f>
        <v>2.8500000000000025E-2</v>
      </c>
      <c r="U860">
        <f>I860*0.7+M860*-0.25+D860*-0.25</f>
        <v>0.26669999999999994</v>
      </c>
      <c r="V860">
        <f>J860*0.5+I860*-0.5</f>
        <v>-0.33804999999999996</v>
      </c>
      <c r="W860">
        <f>M860*0.5+G860*0.25+I860*0.25</f>
        <v>0.70074999999999998</v>
      </c>
    </row>
    <row r="861" spans="1:23" x14ac:dyDescent="0.2">
      <c r="A861">
        <v>5.5100000000000003E-2</v>
      </c>
      <c r="B861">
        <v>6</v>
      </c>
      <c r="C861">
        <v>4</v>
      </c>
      <c r="D861">
        <v>0.115</v>
      </c>
      <c r="E861">
        <v>-7.6870000000000003</v>
      </c>
      <c r="F861">
        <v>253307</v>
      </c>
      <c r="G861">
        <v>0.63600000000000001</v>
      </c>
      <c r="H861">
        <v>249</v>
      </c>
      <c r="I861">
        <v>0.64200000000000002</v>
      </c>
      <c r="J861">
        <v>9.2899999999999996E-2</v>
      </c>
      <c r="K861" t="s">
        <v>2118</v>
      </c>
      <c r="L861">
        <v>39</v>
      </c>
      <c r="M861">
        <v>0.69899999999999995</v>
      </c>
      <c r="N861">
        <v>94.965999999999994</v>
      </c>
      <c r="O861">
        <v>0</v>
      </c>
      <c r="P861">
        <v>1</v>
      </c>
      <c r="Q861">
        <v>14</v>
      </c>
      <c r="R861" t="s">
        <v>146</v>
      </c>
      <c r="S861" t="s">
        <v>2119</v>
      </c>
      <c r="T861">
        <f>I861*-0.5+M861*0.5</f>
        <v>2.849999999999997E-2</v>
      </c>
      <c r="U861">
        <f>I861*0.7+M861*-0.25+D861*-0.25</f>
        <v>0.24589999999999995</v>
      </c>
      <c r="V861">
        <f>J861*0.5+I861*-0.5</f>
        <v>-0.27455000000000002</v>
      </c>
      <c r="W861">
        <f>M861*0.5+G861*0.25+I861*0.25</f>
        <v>0.66899999999999993</v>
      </c>
    </row>
    <row r="862" spans="1:23" x14ac:dyDescent="0.2">
      <c r="A862">
        <v>6.6500000000000004E-2</v>
      </c>
      <c r="B862">
        <v>3</v>
      </c>
      <c r="C862">
        <v>4</v>
      </c>
      <c r="D862">
        <v>0.222</v>
      </c>
      <c r="E862">
        <v>-8.3049999999999997</v>
      </c>
      <c r="F862">
        <v>265813</v>
      </c>
      <c r="G862">
        <v>0.622</v>
      </c>
      <c r="H862">
        <v>248</v>
      </c>
      <c r="I862">
        <v>0.436</v>
      </c>
      <c r="J862">
        <v>0.33500000000000002</v>
      </c>
      <c r="K862" t="s">
        <v>2833</v>
      </c>
      <c r="L862">
        <v>9</v>
      </c>
      <c r="M862">
        <v>0.49199999999999999</v>
      </c>
      <c r="N862">
        <v>63.06</v>
      </c>
      <c r="O862">
        <v>0</v>
      </c>
      <c r="P862">
        <v>0</v>
      </c>
      <c r="Q862">
        <v>14</v>
      </c>
      <c r="R862" t="s">
        <v>2829</v>
      </c>
      <c r="S862" t="s">
        <v>2834</v>
      </c>
      <c r="T862">
        <f>I862*-0.5+M862*0.5</f>
        <v>2.7999999999999997E-2</v>
      </c>
      <c r="U862">
        <f>I862*0.7+M862*-0.25+D862*-0.25</f>
        <v>0.12669999999999998</v>
      </c>
      <c r="V862">
        <f>J862*0.5+I862*-0.5</f>
        <v>-5.0499999999999989E-2</v>
      </c>
      <c r="W862">
        <f>M862*0.5+G862*0.25+I862*0.25</f>
        <v>0.51049999999999995</v>
      </c>
    </row>
    <row r="863" spans="1:23" x14ac:dyDescent="0.2">
      <c r="A863">
        <v>0.121</v>
      </c>
      <c r="B863">
        <v>0</v>
      </c>
      <c r="C863">
        <v>4</v>
      </c>
      <c r="D863">
        <v>6.3200000000000006E-2</v>
      </c>
      <c r="E863">
        <v>-3.6280000000000001</v>
      </c>
      <c r="F863">
        <v>226027</v>
      </c>
      <c r="G863">
        <v>0.80300000000000005</v>
      </c>
      <c r="H863">
        <v>209</v>
      </c>
      <c r="I863">
        <v>0.71899999999999997</v>
      </c>
      <c r="J863">
        <v>1.0699999999999999E-2</v>
      </c>
      <c r="K863" t="s">
        <v>1782</v>
      </c>
      <c r="L863">
        <v>14</v>
      </c>
      <c r="M863">
        <v>0.77300000000000002</v>
      </c>
      <c r="N863">
        <v>91.915000000000006</v>
      </c>
      <c r="O863">
        <v>0</v>
      </c>
      <c r="P863">
        <v>1</v>
      </c>
      <c r="Q863">
        <v>10</v>
      </c>
      <c r="R863" t="s">
        <v>1783</v>
      </c>
      <c r="S863" t="s">
        <v>1784</v>
      </c>
      <c r="T863">
        <f>I863*-0.5+M863*0.5</f>
        <v>2.7000000000000024E-2</v>
      </c>
      <c r="U863">
        <f>I863*0.7+M863*-0.25+D863*-0.25</f>
        <v>0.29424999999999996</v>
      </c>
      <c r="V863">
        <f>J863*0.5+I863*-0.5</f>
        <v>-0.35414999999999996</v>
      </c>
      <c r="W863">
        <f>M863*0.5+G863*0.25+I863*0.25</f>
        <v>0.76700000000000002</v>
      </c>
    </row>
    <row r="864" spans="1:23" x14ac:dyDescent="0.2">
      <c r="A864">
        <v>2.9600000000000001E-2</v>
      </c>
      <c r="B864">
        <v>2</v>
      </c>
      <c r="C864">
        <v>4</v>
      </c>
      <c r="D864">
        <v>0.161</v>
      </c>
      <c r="E864">
        <v>-5.0350000000000001</v>
      </c>
      <c r="F864">
        <v>228933</v>
      </c>
      <c r="G864">
        <v>0.55400000000000005</v>
      </c>
      <c r="H864">
        <v>226</v>
      </c>
      <c r="I864">
        <v>0.76700000000000002</v>
      </c>
      <c r="J864">
        <v>1.8599999999999998E-2</v>
      </c>
      <c r="K864" t="s">
        <v>1741</v>
      </c>
      <c r="L864">
        <v>6</v>
      </c>
      <c r="M864">
        <v>0.82</v>
      </c>
      <c r="N864">
        <v>79.155000000000001</v>
      </c>
      <c r="O864" s="1">
        <v>4.9100000000000001E-5</v>
      </c>
      <c r="P864">
        <v>1</v>
      </c>
      <c r="Q864">
        <v>14</v>
      </c>
      <c r="R864" t="s">
        <v>1261</v>
      </c>
      <c r="S864" t="s">
        <v>1742</v>
      </c>
      <c r="T864">
        <f>I864*-0.5+M864*0.5</f>
        <v>2.6499999999999968E-2</v>
      </c>
      <c r="U864">
        <f>I864*0.7+M864*-0.25+D864*-0.25</f>
        <v>0.29164999999999996</v>
      </c>
      <c r="V864">
        <f>J864*0.5+I864*-0.5</f>
        <v>-0.37420000000000003</v>
      </c>
      <c r="W864">
        <f>M864*0.5+G864*0.25+I864*0.25</f>
        <v>0.74024999999999996</v>
      </c>
    </row>
    <row r="865" spans="1:23" x14ac:dyDescent="0.2">
      <c r="A865">
        <v>7.2499999999999995E-2</v>
      </c>
      <c r="B865">
        <v>10</v>
      </c>
      <c r="C865">
        <v>4</v>
      </c>
      <c r="D865">
        <v>0.29899999999999999</v>
      </c>
      <c r="E865">
        <v>-8.5809999999999995</v>
      </c>
      <c r="F865">
        <v>275173</v>
      </c>
      <c r="G865">
        <v>0.70199999999999996</v>
      </c>
      <c r="H865">
        <v>271</v>
      </c>
      <c r="I865">
        <v>0.47</v>
      </c>
      <c r="J865">
        <v>0.435</v>
      </c>
      <c r="K865" t="s">
        <v>2932</v>
      </c>
      <c r="L865">
        <v>3</v>
      </c>
      <c r="M865">
        <v>0.52</v>
      </c>
      <c r="N865">
        <v>120.005</v>
      </c>
      <c r="O865">
        <v>0</v>
      </c>
      <c r="P865">
        <v>1</v>
      </c>
      <c r="Q865">
        <v>12</v>
      </c>
      <c r="R865" t="s">
        <v>2933</v>
      </c>
      <c r="S865" t="s">
        <v>2934</v>
      </c>
      <c r="T865">
        <f>I865*-0.5+M865*0.5</f>
        <v>2.5000000000000022E-2</v>
      </c>
      <c r="U865">
        <f>I865*0.7+M865*-0.25+D865*-0.25</f>
        <v>0.12424999999999996</v>
      </c>
      <c r="V865">
        <f>J865*0.5+I865*-0.5</f>
        <v>-1.7499999999999988E-2</v>
      </c>
      <c r="W865">
        <f>M865*0.5+G865*0.25+I865*0.25</f>
        <v>0.55299999999999994</v>
      </c>
    </row>
    <row r="866" spans="1:23" x14ac:dyDescent="0.2">
      <c r="A866">
        <v>2.8500000000000001E-2</v>
      </c>
      <c r="B866">
        <v>9</v>
      </c>
      <c r="C866">
        <v>4</v>
      </c>
      <c r="D866">
        <v>9.7500000000000003E-2</v>
      </c>
      <c r="E866">
        <v>-8.2509999999999994</v>
      </c>
      <c r="F866">
        <v>285040</v>
      </c>
      <c r="G866">
        <v>0.55900000000000005</v>
      </c>
      <c r="H866">
        <v>281</v>
      </c>
      <c r="I866">
        <v>0.28000000000000003</v>
      </c>
      <c r="J866">
        <v>0.89200000000000002</v>
      </c>
      <c r="K866" t="s">
        <v>3126</v>
      </c>
      <c r="L866">
        <v>41</v>
      </c>
      <c r="M866">
        <v>0.33</v>
      </c>
      <c r="N866">
        <v>135.10900000000001</v>
      </c>
      <c r="O866">
        <v>0</v>
      </c>
      <c r="P866">
        <v>1</v>
      </c>
      <c r="Q866">
        <v>13</v>
      </c>
      <c r="R866" t="s">
        <v>1595</v>
      </c>
      <c r="S866" t="s">
        <v>3127</v>
      </c>
      <c r="T866">
        <f>I866*-0.5+M866*0.5</f>
        <v>2.4999999999999994E-2</v>
      </c>
      <c r="U866">
        <f>I866*0.7+M866*-0.25+D866*-0.25</f>
        <v>8.912500000000001E-2</v>
      </c>
      <c r="V866">
        <f>J866*0.5+I866*-0.5</f>
        <v>0.30599999999999999</v>
      </c>
      <c r="W866">
        <f>M866*0.5+G866*0.25+I866*0.25</f>
        <v>0.37475000000000003</v>
      </c>
    </row>
    <row r="867" spans="1:23" x14ac:dyDescent="0.2">
      <c r="A867">
        <v>2.81E-2</v>
      </c>
      <c r="B867">
        <v>0</v>
      </c>
      <c r="C867">
        <v>4</v>
      </c>
      <c r="D867">
        <v>0.126</v>
      </c>
      <c r="E867">
        <v>-5.5339999999999998</v>
      </c>
      <c r="F867">
        <v>214333</v>
      </c>
      <c r="G867">
        <v>0.77500000000000002</v>
      </c>
      <c r="H867">
        <v>212</v>
      </c>
      <c r="I867">
        <v>0.76600000000000001</v>
      </c>
      <c r="J867">
        <v>0.16400000000000001</v>
      </c>
      <c r="K867" t="s">
        <v>2170</v>
      </c>
      <c r="L867">
        <v>1</v>
      </c>
      <c r="M867">
        <v>0.81599999999999995</v>
      </c>
      <c r="N867">
        <v>98.218999999999994</v>
      </c>
      <c r="O867">
        <v>0</v>
      </c>
      <c r="P867">
        <v>1</v>
      </c>
      <c r="Q867">
        <v>2</v>
      </c>
      <c r="R867" t="s">
        <v>1005</v>
      </c>
      <c r="S867" t="s">
        <v>939</v>
      </c>
      <c r="T867">
        <f>I867*-0.5+M867*0.5</f>
        <v>2.4999999999999967E-2</v>
      </c>
      <c r="U867">
        <f>I867*0.7+M867*-0.25+D867*-0.25</f>
        <v>0.30070000000000008</v>
      </c>
      <c r="V867">
        <f>J867*0.5+I867*-0.5</f>
        <v>-0.30099999999999999</v>
      </c>
      <c r="W867">
        <f>M867*0.5+G867*0.25+I867*0.25</f>
        <v>0.79325000000000001</v>
      </c>
    </row>
    <row r="868" spans="1:23" x14ac:dyDescent="0.2">
      <c r="A868">
        <v>5.6800000000000003E-2</v>
      </c>
      <c r="B868">
        <v>11</v>
      </c>
      <c r="C868">
        <v>4</v>
      </c>
      <c r="D868">
        <v>0.27600000000000002</v>
      </c>
      <c r="E868">
        <v>-4.3209999999999997</v>
      </c>
      <c r="F868">
        <v>238627</v>
      </c>
      <c r="G868">
        <v>0.70599999999999996</v>
      </c>
      <c r="H868">
        <v>236</v>
      </c>
      <c r="I868">
        <v>0.745</v>
      </c>
      <c r="J868">
        <v>0.11</v>
      </c>
      <c r="K868" t="s">
        <v>2060</v>
      </c>
      <c r="L868">
        <v>29</v>
      </c>
      <c r="M868">
        <v>0.79400000000000004</v>
      </c>
      <c r="N868">
        <v>124.93</v>
      </c>
      <c r="O868">
        <v>0</v>
      </c>
      <c r="P868">
        <v>0</v>
      </c>
      <c r="Q868">
        <v>4</v>
      </c>
      <c r="R868" t="s">
        <v>638</v>
      </c>
      <c r="S868" t="s">
        <v>2061</v>
      </c>
      <c r="T868">
        <f>I868*-0.5+M868*0.5</f>
        <v>2.4500000000000022E-2</v>
      </c>
      <c r="U868">
        <f>I868*0.7+M868*-0.25+D868*-0.25</f>
        <v>0.25399999999999995</v>
      </c>
      <c r="V868">
        <f>J868*0.5+I868*-0.5</f>
        <v>-0.3175</v>
      </c>
      <c r="W868">
        <f>M868*0.5+G868*0.25+I868*0.25</f>
        <v>0.75975000000000004</v>
      </c>
    </row>
    <row r="869" spans="1:23" x14ac:dyDescent="0.2">
      <c r="A869">
        <v>3.2500000000000001E-2</v>
      </c>
      <c r="B869">
        <v>0</v>
      </c>
      <c r="C869">
        <v>5</v>
      </c>
      <c r="D869">
        <v>0.10100000000000001</v>
      </c>
      <c r="E869">
        <v>-4.8380000000000001</v>
      </c>
      <c r="F869">
        <v>192790</v>
      </c>
      <c r="G869">
        <v>0.65600000000000003</v>
      </c>
      <c r="H869">
        <v>190</v>
      </c>
      <c r="I869">
        <v>0.77300000000000002</v>
      </c>
      <c r="J869">
        <v>1.94E-4</v>
      </c>
      <c r="K869" t="s">
        <v>1684</v>
      </c>
      <c r="L869">
        <v>47</v>
      </c>
      <c r="M869">
        <v>0.82099999999999995</v>
      </c>
      <c r="N869">
        <v>117.94799999999999</v>
      </c>
      <c r="O869">
        <v>2.32E-3</v>
      </c>
      <c r="P869">
        <v>1</v>
      </c>
      <c r="Q869">
        <v>13</v>
      </c>
      <c r="R869" t="s">
        <v>1685</v>
      </c>
      <c r="S869" t="s">
        <v>1686</v>
      </c>
      <c r="T869">
        <f>I869*-0.5+M869*0.5</f>
        <v>2.3999999999999966E-2</v>
      </c>
      <c r="U869">
        <f>I869*0.7+M869*-0.25+D869*-0.25</f>
        <v>0.31060000000000004</v>
      </c>
      <c r="V869">
        <f>J869*0.5+I869*-0.5</f>
        <v>-0.386403</v>
      </c>
      <c r="W869">
        <f>M869*0.5+G869*0.25+I869*0.25</f>
        <v>0.76775000000000004</v>
      </c>
    </row>
    <row r="870" spans="1:23" x14ac:dyDescent="0.2">
      <c r="A870">
        <v>3.2500000000000001E-2</v>
      </c>
      <c r="B870">
        <v>0</v>
      </c>
      <c r="C870">
        <v>5</v>
      </c>
      <c r="D870">
        <v>0.10100000000000001</v>
      </c>
      <c r="E870">
        <v>-4.8380000000000001</v>
      </c>
      <c r="F870">
        <v>192790</v>
      </c>
      <c r="G870">
        <v>0.65600000000000003</v>
      </c>
      <c r="H870">
        <v>192</v>
      </c>
      <c r="I870">
        <v>0.77300000000000002</v>
      </c>
      <c r="J870">
        <v>1.94E-4</v>
      </c>
      <c r="K870" t="s">
        <v>1684</v>
      </c>
      <c r="L870">
        <v>45</v>
      </c>
      <c r="M870">
        <v>0.82099999999999995</v>
      </c>
      <c r="N870">
        <v>117.94799999999999</v>
      </c>
      <c r="O870">
        <v>2.32E-3</v>
      </c>
      <c r="P870">
        <v>1</v>
      </c>
      <c r="Q870">
        <v>20</v>
      </c>
      <c r="R870" t="s">
        <v>1685</v>
      </c>
      <c r="S870" t="s">
        <v>1686</v>
      </c>
      <c r="T870">
        <f>I870*-0.5+M870*0.5</f>
        <v>2.3999999999999966E-2</v>
      </c>
      <c r="U870">
        <f>I870*0.7+M870*-0.25+D870*-0.25</f>
        <v>0.31060000000000004</v>
      </c>
      <c r="V870">
        <f>J870*0.5+I870*-0.5</f>
        <v>-0.386403</v>
      </c>
      <c r="W870">
        <f>M870*0.5+G870*0.25+I870*0.25</f>
        <v>0.76775000000000004</v>
      </c>
    </row>
    <row r="871" spans="1:23" x14ac:dyDescent="0.2">
      <c r="A871">
        <v>0.33200000000000002</v>
      </c>
      <c r="B871">
        <v>10</v>
      </c>
      <c r="C871">
        <v>5</v>
      </c>
      <c r="D871">
        <v>4.1599999999999998E-2</v>
      </c>
      <c r="E871">
        <v>-4.6829999999999998</v>
      </c>
      <c r="F871">
        <v>238747</v>
      </c>
      <c r="G871">
        <v>0.63600000000000001</v>
      </c>
      <c r="H871">
        <v>234</v>
      </c>
      <c r="I871">
        <v>0.89800000000000002</v>
      </c>
      <c r="J871">
        <v>0.115</v>
      </c>
      <c r="K871" t="s">
        <v>1845</v>
      </c>
      <c r="L871">
        <v>19</v>
      </c>
      <c r="M871">
        <v>0.94599999999999995</v>
      </c>
      <c r="N871">
        <v>125.08499999999999</v>
      </c>
      <c r="O871" s="1">
        <v>3.7499999999999997E-5</v>
      </c>
      <c r="P871">
        <v>0</v>
      </c>
      <c r="Q871">
        <v>3</v>
      </c>
      <c r="R871" t="s">
        <v>1846</v>
      </c>
      <c r="S871" t="s">
        <v>1847</v>
      </c>
      <c r="T871">
        <f>I871*-0.5+M871*0.5</f>
        <v>2.3999999999999966E-2</v>
      </c>
      <c r="U871">
        <f>I871*0.7+M871*-0.25+D871*-0.25</f>
        <v>0.38169999999999993</v>
      </c>
      <c r="V871">
        <f>J871*0.5+I871*-0.5</f>
        <v>-0.39150000000000001</v>
      </c>
      <c r="W871">
        <f>M871*0.5+G871*0.25+I871*0.25</f>
        <v>0.85650000000000004</v>
      </c>
    </row>
    <row r="872" spans="1:23" x14ac:dyDescent="0.2">
      <c r="A872">
        <v>0.251</v>
      </c>
      <c r="B872">
        <v>1</v>
      </c>
      <c r="C872">
        <v>4</v>
      </c>
      <c r="D872">
        <v>0.22500000000000001</v>
      </c>
      <c r="E872">
        <v>-5.899</v>
      </c>
      <c r="F872">
        <v>229040</v>
      </c>
      <c r="G872">
        <v>0.60499999999999998</v>
      </c>
      <c r="H872">
        <v>228</v>
      </c>
      <c r="I872">
        <v>0.58599999999999997</v>
      </c>
      <c r="J872">
        <v>0.11899999999999999</v>
      </c>
      <c r="K872" t="s">
        <v>2308</v>
      </c>
      <c r="L872">
        <v>22</v>
      </c>
      <c r="M872">
        <v>0.63300000000000001</v>
      </c>
      <c r="N872">
        <v>87.26</v>
      </c>
      <c r="O872">
        <v>0</v>
      </c>
      <c r="P872">
        <v>0</v>
      </c>
      <c r="Q872">
        <v>5</v>
      </c>
      <c r="R872" t="s">
        <v>556</v>
      </c>
      <c r="S872" t="s">
        <v>2309</v>
      </c>
      <c r="T872">
        <f>I872*-0.5+M872*0.5</f>
        <v>2.3500000000000021E-2</v>
      </c>
      <c r="U872">
        <f>I872*0.7+M872*-0.25+D872*-0.25</f>
        <v>0.19569999999999996</v>
      </c>
      <c r="V872">
        <f>J872*0.5+I872*-0.5</f>
        <v>-0.23349999999999999</v>
      </c>
      <c r="W872">
        <f>M872*0.5+G872*0.25+I872*0.25</f>
        <v>0.61424999999999996</v>
      </c>
    </row>
    <row r="873" spans="1:23" x14ac:dyDescent="0.2">
      <c r="A873">
        <v>4.1700000000000001E-2</v>
      </c>
      <c r="B873">
        <v>4</v>
      </c>
      <c r="C873">
        <v>4</v>
      </c>
      <c r="D873">
        <v>0.27300000000000002</v>
      </c>
      <c r="E873">
        <v>-6.5670000000000002</v>
      </c>
      <c r="F873">
        <v>230933</v>
      </c>
      <c r="G873">
        <v>0.63200000000000001</v>
      </c>
      <c r="H873">
        <v>230</v>
      </c>
      <c r="I873">
        <v>0.70899999999999996</v>
      </c>
      <c r="J873">
        <v>0.159</v>
      </c>
      <c r="K873" t="s">
        <v>2238</v>
      </c>
      <c r="L873">
        <v>7</v>
      </c>
      <c r="M873">
        <v>0.75600000000000001</v>
      </c>
      <c r="N873">
        <v>138.96</v>
      </c>
      <c r="O873">
        <v>0</v>
      </c>
      <c r="P873">
        <v>1</v>
      </c>
      <c r="Q873">
        <v>13</v>
      </c>
      <c r="R873" t="s">
        <v>623</v>
      </c>
      <c r="S873" t="s">
        <v>2239</v>
      </c>
      <c r="T873">
        <f>I873*-0.5+M873*0.5</f>
        <v>2.3500000000000021E-2</v>
      </c>
      <c r="U873">
        <f>I873*0.7+M873*-0.25+D873*-0.25</f>
        <v>0.23904999999999996</v>
      </c>
      <c r="V873">
        <f>J873*0.5+I873*-0.5</f>
        <v>-0.27499999999999997</v>
      </c>
      <c r="W873">
        <f>M873*0.5+G873*0.25+I873*0.25</f>
        <v>0.71325000000000005</v>
      </c>
    </row>
    <row r="874" spans="1:23" x14ac:dyDescent="0.2">
      <c r="A874">
        <v>4.7899999999999998E-2</v>
      </c>
      <c r="B874">
        <v>8</v>
      </c>
      <c r="C874">
        <v>4</v>
      </c>
      <c r="D874">
        <v>8.2100000000000006E-2</v>
      </c>
      <c r="E874">
        <v>-4.843</v>
      </c>
      <c r="F874">
        <v>200400</v>
      </c>
      <c r="G874">
        <v>0.61</v>
      </c>
      <c r="H874">
        <v>199</v>
      </c>
      <c r="I874">
        <v>0.879</v>
      </c>
      <c r="J874">
        <v>3.1E-2</v>
      </c>
      <c r="K874" t="s">
        <v>1589</v>
      </c>
      <c r="L874">
        <v>6</v>
      </c>
      <c r="M874">
        <v>0.92600000000000005</v>
      </c>
      <c r="N874">
        <v>172.63800000000001</v>
      </c>
      <c r="O874">
        <v>1.1999999999999999E-3</v>
      </c>
      <c r="P874">
        <v>0</v>
      </c>
      <c r="Q874">
        <v>3</v>
      </c>
      <c r="R874" t="s">
        <v>1590</v>
      </c>
      <c r="S874" t="s">
        <v>1591</v>
      </c>
      <c r="T874">
        <f>I874*-0.5+M874*0.5</f>
        <v>2.3500000000000021E-2</v>
      </c>
      <c r="U874">
        <f>I874*0.7+M874*-0.25+D874*-0.25</f>
        <v>0.3632749999999999</v>
      </c>
      <c r="V874">
        <f>J874*0.5+I874*-0.5</f>
        <v>-0.42399999999999999</v>
      </c>
      <c r="W874">
        <f>M874*0.5+G874*0.25+I874*0.25</f>
        <v>0.83525000000000005</v>
      </c>
    </row>
    <row r="875" spans="1:23" x14ac:dyDescent="0.2">
      <c r="A875">
        <v>5.11E-2</v>
      </c>
      <c r="B875">
        <v>1</v>
      </c>
      <c r="C875">
        <v>4</v>
      </c>
      <c r="D875">
        <v>0.106</v>
      </c>
      <c r="E875">
        <v>-4.359</v>
      </c>
      <c r="F875">
        <v>336507</v>
      </c>
      <c r="G875">
        <v>0.60199999999999998</v>
      </c>
      <c r="H875">
        <v>271</v>
      </c>
      <c r="I875">
        <v>0.59</v>
      </c>
      <c r="J875">
        <v>7.22E-2</v>
      </c>
      <c r="K875" t="s">
        <v>2177</v>
      </c>
      <c r="L875">
        <v>17</v>
      </c>
      <c r="M875">
        <v>0.63600000000000001</v>
      </c>
      <c r="N875">
        <v>163.15799999999999</v>
      </c>
      <c r="O875" s="1">
        <v>1.5200000000000001E-6</v>
      </c>
      <c r="P875">
        <v>0</v>
      </c>
      <c r="Q875">
        <v>6</v>
      </c>
      <c r="R875" t="s">
        <v>2178</v>
      </c>
      <c r="S875" t="s">
        <v>2179</v>
      </c>
      <c r="T875">
        <f>I875*-0.5+M875*0.5</f>
        <v>2.300000000000002E-2</v>
      </c>
      <c r="U875">
        <f>I875*0.7+M875*-0.25+D875*-0.25</f>
        <v>0.22750000000000001</v>
      </c>
      <c r="V875">
        <f>J875*0.5+I875*-0.5</f>
        <v>-0.25889999999999996</v>
      </c>
      <c r="W875">
        <f>M875*0.5+G875*0.25+I875*0.25</f>
        <v>0.61599999999999999</v>
      </c>
    </row>
    <row r="876" spans="1:23" x14ac:dyDescent="0.2">
      <c r="A876">
        <v>0.111</v>
      </c>
      <c r="B876">
        <v>2</v>
      </c>
      <c r="C876">
        <v>4</v>
      </c>
      <c r="D876">
        <v>0.435</v>
      </c>
      <c r="E876">
        <v>-6.0090000000000003</v>
      </c>
      <c r="F876">
        <v>268840</v>
      </c>
      <c r="G876">
        <v>0.71299999999999997</v>
      </c>
      <c r="H876">
        <v>238</v>
      </c>
      <c r="I876">
        <v>0.85199999999999998</v>
      </c>
      <c r="J876">
        <v>1.9699999999999999E-2</v>
      </c>
      <c r="K876" t="s">
        <v>1608</v>
      </c>
      <c r="L876">
        <v>35</v>
      </c>
      <c r="M876">
        <v>0.89800000000000002</v>
      </c>
      <c r="N876">
        <v>124.976</v>
      </c>
      <c r="O876" s="1">
        <v>2.62E-5</v>
      </c>
      <c r="P876">
        <v>0</v>
      </c>
      <c r="Q876">
        <v>4</v>
      </c>
      <c r="R876" t="s">
        <v>491</v>
      </c>
      <c r="S876" t="s">
        <v>1609</v>
      </c>
      <c r="T876">
        <f>I876*-0.5+M876*0.5</f>
        <v>2.300000000000002E-2</v>
      </c>
      <c r="U876">
        <f>I876*0.7+M876*-0.25+D876*-0.25</f>
        <v>0.26314999999999988</v>
      </c>
      <c r="V876">
        <f>J876*0.5+I876*-0.5</f>
        <v>-0.41614999999999996</v>
      </c>
      <c r="W876">
        <f>M876*0.5+G876*0.25+I876*0.25</f>
        <v>0.84024999999999994</v>
      </c>
    </row>
    <row r="877" spans="1:23" x14ac:dyDescent="0.2">
      <c r="A877">
        <v>2.8199999999999999E-2</v>
      </c>
      <c r="B877">
        <v>2</v>
      </c>
      <c r="C877">
        <v>4</v>
      </c>
      <c r="D877">
        <v>5.2499999999999998E-2</v>
      </c>
      <c r="E877">
        <v>-3.79</v>
      </c>
      <c r="F877">
        <v>197187</v>
      </c>
      <c r="G877">
        <v>0.71099999999999997</v>
      </c>
      <c r="H877">
        <v>193</v>
      </c>
      <c r="I877">
        <v>0.67500000000000004</v>
      </c>
      <c r="J877">
        <v>2.2399999999999998E-3</v>
      </c>
      <c r="K877" t="s">
        <v>1866</v>
      </c>
      <c r="L877">
        <v>43</v>
      </c>
      <c r="M877">
        <v>0.72099999999999997</v>
      </c>
      <c r="N877">
        <v>126.988</v>
      </c>
      <c r="O877">
        <v>0</v>
      </c>
      <c r="P877">
        <v>1</v>
      </c>
      <c r="Q877">
        <v>11</v>
      </c>
      <c r="R877" t="s">
        <v>1111</v>
      </c>
      <c r="S877" t="s">
        <v>1867</v>
      </c>
      <c r="T877">
        <f>I877*-0.5+M877*0.5</f>
        <v>2.2999999999999965E-2</v>
      </c>
      <c r="U877">
        <f>I877*0.7+M877*-0.25+D877*-0.25</f>
        <v>0.27912500000000001</v>
      </c>
      <c r="V877">
        <f>J877*0.5+I877*-0.5</f>
        <v>-0.33638000000000001</v>
      </c>
      <c r="W877">
        <f>M877*0.5+G877*0.25+I877*0.25</f>
        <v>0.70700000000000007</v>
      </c>
    </row>
    <row r="878" spans="1:23" x14ac:dyDescent="0.2">
      <c r="A878">
        <v>6.2899999999999998E-2</v>
      </c>
      <c r="B878">
        <v>0</v>
      </c>
      <c r="C878">
        <v>4</v>
      </c>
      <c r="D878">
        <v>0.109</v>
      </c>
      <c r="E878">
        <v>-5.508</v>
      </c>
      <c r="F878">
        <v>207719</v>
      </c>
      <c r="G878">
        <v>0.77500000000000002</v>
      </c>
      <c r="H878">
        <v>205</v>
      </c>
      <c r="I878">
        <v>0.63600000000000001</v>
      </c>
      <c r="J878">
        <v>9.0600000000000003E-3</v>
      </c>
      <c r="K878" t="s">
        <v>1945</v>
      </c>
      <c r="L878">
        <v>55</v>
      </c>
      <c r="M878">
        <v>0.68</v>
      </c>
      <c r="N878">
        <v>114.02500000000001</v>
      </c>
      <c r="O878">
        <v>0</v>
      </c>
      <c r="P878">
        <v>0</v>
      </c>
      <c r="Q878">
        <v>3</v>
      </c>
      <c r="R878" t="s">
        <v>734</v>
      </c>
      <c r="S878" t="s">
        <v>1946</v>
      </c>
      <c r="T878">
        <f>I878*-0.5+M878*0.5</f>
        <v>2.200000000000002E-2</v>
      </c>
      <c r="U878">
        <f>I878*0.7+M878*-0.25+D878*-0.25</f>
        <v>0.24795</v>
      </c>
      <c r="V878">
        <f>J878*0.5+I878*-0.5</f>
        <v>-0.31347000000000003</v>
      </c>
      <c r="W878">
        <f>M878*0.5+G878*0.25+I878*0.25</f>
        <v>0.69275000000000009</v>
      </c>
    </row>
    <row r="879" spans="1:23" x14ac:dyDescent="0.2">
      <c r="A879">
        <v>4.5999999999999999E-2</v>
      </c>
      <c r="B879">
        <v>9</v>
      </c>
      <c r="C879">
        <v>4</v>
      </c>
      <c r="D879">
        <v>9.1499999999999998E-2</v>
      </c>
      <c r="E879">
        <v>-2.91</v>
      </c>
      <c r="F879">
        <v>172373</v>
      </c>
      <c r="G879">
        <v>0.47799999999999998</v>
      </c>
      <c r="H879">
        <v>161</v>
      </c>
      <c r="I879">
        <v>0.64300000000000002</v>
      </c>
      <c r="J879">
        <v>2.8799999999999999E-2</v>
      </c>
      <c r="K879" t="s">
        <v>1989</v>
      </c>
      <c r="L879">
        <v>18</v>
      </c>
      <c r="M879">
        <v>0.68700000000000006</v>
      </c>
      <c r="N879">
        <v>188.172</v>
      </c>
      <c r="O879" s="1">
        <v>1.1799999999999999E-6</v>
      </c>
      <c r="P879">
        <v>0</v>
      </c>
      <c r="Q879">
        <v>19</v>
      </c>
      <c r="R879" t="s">
        <v>1990</v>
      </c>
      <c r="S879" t="s">
        <v>1991</v>
      </c>
      <c r="T879">
        <f>I879*-0.5+M879*0.5</f>
        <v>2.200000000000002E-2</v>
      </c>
      <c r="U879">
        <f>I879*0.7+M879*-0.25+D879*-0.25</f>
        <v>0.25547500000000001</v>
      </c>
      <c r="V879">
        <f>J879*0.5+I879*-0.5</f>
        <v>-0.30709999999999998</v>
      </c>
      <c r="W879">
        <f>M879*0.5+G879*0.25+I879*0.25</f>
        <v>0.62375000000000003</v>
      </c>
    </row>
    <row r="880" spans="1:23" x14ac:dyDescent="0.2">
      <c r="A880">
        <v>3.39E-2</v>
      </c>
      <c r="B880">
        <v>4</v>
      </c>
      <c r="C880">
        <v>4</v>
      </c>
      <c r="D880">
        <v>5.2299999999999999E-2</v>
      </c>
      <c r="E880">
        <v>-7.2960000000000003</v>
      </c>
      <c r="F880">
        <v>216520</v>
      </c>
      <c r="G880">
        <v>0.71699999999999997</v>
      </c>
      <c r="H880">
        <v>213</v>
      </c>
      <c r="I880">
        <v>0.54400000000000004</v>
      </c>
      <c r="J880">
        <v>1.9199999999999998E-2</v>
      </c>
      <c r="K880" t="s">
        <v>2105</v>
      </c>
      <c r="L880">
        <v>31</v>
      </c>
      <c r="M880">
        <v>0.58699999999999997</v>
      </c>
      <c r="N880">
        <v>129.95400000000001</v>
      </c>
      <c r="O880">
        <v>0</v>
      </c>
      <c r="P880">
        <v>0</v>
      </c>
      <c r="Q880">
        <v>13</v>
      </c>
      <c r="R880" t="s">
        <v>623</v>
      </c>
      <c r="S880" t="s">
        <v>2106</v>
      </c>
      <c r="T880">
        <f>I880*-0.5+M880*0.5</f>
        <v>2.1499999999999964E-2</v>
      </c>
      <c r="U880">
        <f>I880*0.7+M880*-0.25+D880*-0.25</f>
        <v>0.22097500000000003</v>
      </c>
      <c r="V880">
        <f>J880*0.5+I880*-0.5</f>
        <v>-0.26240000000000002</v>
      </c>
      <c r="W880">
        <f>M880*0.5+G880*0.25+I880*0.25</f>
        <v>0.60875000000000001</v>
      </c>
    </row>
    <row r="881" spans="1:23" x14ac:dyDescent="0.2">
      <c r="A881">
        <v>0.14799999999999999</v>
      </c>
      <c r="B881">
        <v>11</v>
      </c>
      <c r="C881">
        <v>4</v>
      </c>
      <c r="D881">
        <v>0.11799999999999999</v>
      </c>
      <c r="E881">
        <v>-8.24</v>
      </c>
      <c r="F881">
        <v>234382</v>
      </c>
      <c r="G881">
        <v>0.745</v>
      </c>
      <c r="H881">
        <v>214</v>
      </c>
      <c r="I881">
        <v>0.57899999999999996</v>
      </c>
      <c r="J881">
        <v>1.3100000000000001E-2</v>
      </c>
      <c r="K881" t="s">
        <v>2062</v>
      </c>
      <c r="L881">
        <v>19</v>
      </c>
      <c r="M881">
        <v>0.62</v>
      </c>
      <c r="N881">
        <v>99.989000000000004</v>
      </c>
      <c r="O881">
        <v>0</v>
      </c>
      <c r="P881">
        <v>1</v>
      </c>
      <c r="Q881">
        <v>7</v>
      </c>
      <c r="R881" t="s">
        <v>2063</v>
      </c>
      <c r="S881" t="s">
        <v>2064</v>
      </c>
      <c r="T881">
        <f>I881*-0.5+M881*0.5</f>
        <v>2.0500000000000018E-2</v>
      </c>
      <c r="U881">
        <f>I881*0.7+M881*-0.25+D881*-0.25</f>
        <v>0.22079999999999997</v>
      </c>
      <c r="V881">
        <f>J881*0.5+I881*-0.5</f>
        <v>-0.28294999999999998</v>
      </c>
      <c r="W881">
        <f>M881*0.5+G881*0.25+I881*0.25</f>
        <v>0.64100000000000001</v>
      </c>
    </row>
    <row r="882" spans="1:23" x14ac:dyDescent="0.2">
      <c r="A882">
        <v>3.1300000000000001E-2</v>
      </c>
      <c r="B882">
        <v>1</v>
      </c>
      <c r="C882">
        <v>4</v>
      </c>
      <c r="D882">
        <v>0.107</v>
      </c>
      <c r="E882">
        <v>-10.253</v>
      </c>
      <c r="F882">
        <v>260533</v>
      </c>
      <c r="G882">
        <v>0.56799999999999995</v>
      </c>
      <c r="H882">
        <v>258</v>
      </c>
      <c r="I882">
        <v>0.252</v>
      </c>
      <c r="J882">
        <v>0.80400000000000005</v>
      </c>
      <c r="K882" t="s">
        <v>3108</v>
      </c>
      <c r="L882">
        <v>58</v>
      </c>
      <c r="M882">
        <v>0.29299999999999998</v>
      </c>
      <c r="N882">
        <v>147.17500000000001</v>
      </c>
      <c r="O882" s="1">
        <v>1.26E-5</v>
      </c>
      <c r="P882">
        <v>1</v>
      </c>
      <c r="Q882">
        <v>15</v>
      </c>
      <c r="R882" t="s">
        <v>3109</v>
      </c>
      <c r="S882" t="s">
        <v>2985</v>
      </c>
      <c r="T882">
        <f>I882*-0.5+M882*0.5</f>
        <v>2.049999999999999E-2</v>
      </c>
      <c r="U882">
        <f>I882*0.7+M882*-0.25+D882*-0.25</f>
        <v>7.640000000000001E-2</v>
      </c>
      <c r="V882">
        <f>J882*0.5+I882*-0.5</f>
        <v>0.27600000000000002</v>
      </c>
      <c r="W882">
        <f>M882*0.5+G882*0.25+I882*0.25</f>
        <v>0.35149999999999998</v>
      </c>
    </row>
    <row r="883" spans="1:23" x14ac:dyDescent="0.2">
      <c r="A883">
        <v>7.0999999999999994E-2</v>
      </c>
      <c r="B883">
        <v>3</v>
      </c>
      <c r="C883">
        <v>4</v>
      </c>
      <c r="D883">
        <v>0.13</v>
      </c>
      <c r="E883">
        <v>-4.2910000000000004</v>
      </c>
      <c r="F883">
        <v>252160</v>
      </c>
      <c r="G883">
        <v>0.65900000000000003</v>
      </c>
      <c r="H883">
        <v>251</v>
      </c>
      <c r="I883">
        <v>0.65500000000000003</v>
      </c>
      <c r="J883">
        <v>0.14299999999999999</v>
      </c>
      <c r="K883" t="s">
        <v>2305</v>
      </c>
      <c r="L883">
        <v>28</v>
      </c>
      <c r="M883">
        <v>0.69599999999999995</v>
      </c>
      <c r="N883">
        <v>86.001000000000005</v>
      </c>
      <c r="O883">
        <v>0</v>
      </c>
      <c r="P883">
        <v>1</v>
      </c>
      <c r="Q883">
        <v>6</v>
      </c>
      <c r="R883" t="s">
        <v>556</v>
      </c>
      <c r="S883" t="s">
        <v>1740</v>
      </c>
      <c r="T883">
        <f>I883*-0.5+M883*0.5</f>
        <v>2.0499999999999963E-2</v>
      </c>
      <c r="U883">
        <f>I883*0.7+M883*-0.25+D883*-0.25</f>
        <v>0.252</v>
      </c>
      <c r="V883">
        <f>J883*0.5+I883*-0.5</f>
        <v>-0.25600000000000001</v>
      </c>
      <c r="W883">
        <f>M883*0.5+G883*0.25+I883*0.25</f>
        <v>0.6765000000000001</v>
      </c>
    </row>
    <row r="884" spans="1:23" x14ac:dyDescent="0.2">
      <c r="A884">
        <v>4.1500000000000002E-2</v>
      </c>
      <c r="B884">
        <v>3</v>
      </c>
      <c r="C884">
        <v>4</v>
      </c>
      <c r="D884">
        <v>0.67100000000000004</v>
      </c>
      <c r="E884">
        <v>-3.7959999999999998</v>
      </c>
      <c r="F884">
        <v>230747</v>
      </c>
      <c r="G884">
        <v>0.64900000000000002</v>
      </c>
      <c r="H884">
        <v>230</v>
      </c>
      <c r="I884">
        <v>0.77400000000000002</v>
      </c>
      <c r="J884">
        <v>1.25E-3</v>
      </c>
      <c r="K884" t="s">
        <v>1734</v>
      </c>
      <c r="L884">
        <v>39</v>
      </c>
      <c r="M884">
        <v>0.81499999999999995</v>
      </c>
      <c r="N884">
        <v>126.03</v>
      </c>
      <c r="O884" s="1">
        <v>4.3099999999999997E-5</v>
      </c>
      <c r="P884">
        <v>0</v>
      </c>
      <c r="Q884">
        <v>1</v>
      </c>
      <c r="R884" t="s">
        <v>206</v>
      </c>
      <c r="S884" t="s">
        <v>1735</v>
      </c>
      <c r="T884">
        <f>I884*-0.5+M884*0.5</f>
        <v>2.0499999999999963E-2</v>
      </c>
      <c r="U884">
        <f>I884*0.7+M884*-0.25+D884*-0.25</f>
        <v>0.17029999999999995</v>
      </c>
      <c r="V884">
        <f>J884*0.5+I884*-0.5</f>
        <v>-0.38637500000000002</v>
      </c>
      <c r="W884">
        <f>M884*0.5+G884*0.25+I884*0.25</f>
        <v>0.76324999999999998</v>
      </c>
    </row>
    <row r="885" spans="1:23" x14ac:dyDescent="0.2">
      <c r="A885">
        <v>3.6799999999999999E-2</v>
      </c>
      <c r="B885">
        <v>5</v>
      </c>
      <c r="C885">
        <v>4</v>
      </c>
      <c r="D885">
        <v>8.2900000000000001E-2</v>
      </c>
      <c r="E885">
        <v>-9.3339999999999996</v>
      </c>
      <c r="F885">
        <v>208133</v>
      </c>
      <c r="G885">
        <v>0.82899999999999996</v>
      </c>
      <c r="H885">
        <v>204</v>
      </c>
      <c r="I885">
        <v>0.47</v>
      </c>
      <c r="J885">
        <v>8.2100000000000003E-3</v>
      </c>
      <c r="K885" t="s">
        <v>2186</v>
      </c>
      <c r="L885">
        <v>53</v>
      </c>
      <c r="M885">
        <v>0.51</v>
      </c>
      <c r="N885">
        <v>119.99299999999999</v>
      </c>
      <c r="O885">
        <v>1.4E-3</v>
      </c>
      <c r="P885">
        <v>0</v>
      </c>
      <c r="Q885">
        <v>14</v>
      </c>
      <c r="R885" t="s">
        <v>2187</v>
      </c>
      <c r="S885" t="s">
        <v>2188</v>
      </c>
      <c r="T885">
        <f>I885*-0.5+M885*0.5</f>
        <v>2.0000000000000018E-2</v>
      </c>
      <c r="U885">
        <f>I885*0.7+M885*-0.25+D885*-0.25</f>
        <v>0.18077499999999996</v>
      </c>
      <c r="V885">
        <f>J885*0.5+I885*-0.5</f>
        <v>-0.23089499999999999</v>
      </c>
      <c r="W885">
        <f>M885*0.5+G885*0.25+I885*0.25</f>
        <v>0.57974999999999999</v>
      </c>
    </row>
    <row r="886" spans="1:23" x14ac:dyDescent="0.2">
      <c r="A886">
        <v>5.0599999999999999E-2</v>
      </c>
      <c r="B886">
        <v>5</v>
      </c>
      <c r="C886">
        <v>4</v>
      </c>
      <c r="D886">
        <v>0.36299999999999999</v>
      </c>
      <c r="E886">
        <v>-5.5</v>
      </c>
      <c r="F886">
        <v>212293</v>
      </c>
      <c r="G886">
        <v>0.48599999999999999</v>
      </c>
      <c r="H886">
        <v>210</v>
      </c>
      <c r="I886">
        <v>0.79300000000000004</v>
      </c>
      <c r="J886">
        <v>3.9199999999999999E-4</v>
      </c>
      <c r="K886" t="s">
        <v>1717</v>
      </c>
      <c r="L886">
        <v>36</v>
      </c>
      <c r="M886">
        <v>0.83099999999999996</v>
      </c>
      <c r="N886">
        <v>148.02600000000001</v>
      </c>
      <c r="O886">
        <v>0</v>
      </c>
      <c r="P886">
        <v>1</v>
      </c>
      <c r="Q886">
        <v>11</v>
      </c>
      <c r="R886" t="s">
        <v>941</v>
      </c>
      <c r="S886" t="s">
        <v>1718</v>
      </c>
      <c r="T886">
        <f>I886*-0.5+M886*0.5</f>
        <v>1.8999999999999961E-2</v>
      </c>
      <c r="U886">
        <f>I886*0.7+M886*-0.25+D886*-0.25</f>
        <v>0.25660000000000005</v>
      </c>
      <c r="V886">
        <f>J886*0.5+I886*-0.5</f>
        <v>-0.39630400000000005</v>
      </c>
      <c r="W886">
        <f>M886*0.5+G886*0.25+I886*0.25</f>
        <v>0.73524999999999996</v>
      </c>
    </row>
    <row r="887" spans="1:23" x14ac:dyDescent="0.2">
      <c r="A887">
        <v>4.02E-2</v>
      </c>
      <c r="B887">
        <v>1</v>
      </c>
      <c r="C887">
        <v>4</v>
      </c>
      <c r="D887">
        <v>0.41599999999999998</v>
      </c>
      <c r="E887">
        <v>-4.3550000000000004</v>
      </c>
      <c r="F887">
        <v>195040</v>
      </c>
      <c r="G887">
        <v>0.76400000000000001</v>
      </c>
      <c r="H887">
        <v>196</v>
      </c>
      <c r="I887">
        <v>0.91</v>
      </c>
      <c r="J887">
        <v>9.2899999999999996E-3</v>
      </c>
      <c r="K887" t="s">
        <v>1481</v>
      </c>
      <c r="L887">
        <v>1</v>
      </c>
      <c r="M887">
        <v>0.94799999999999995</v>
      </c>
      <c r="N887">
        <v>129.96700000000001</v>
      </c>
      <c r="O887">
        <v>7.7299999999999994E-2</v>
      </c>
      <c r="P887">
        <v>0</v>
      </c>
      <c r="Q887">
        <v>13</v>
      </c>
      <c r="R887" t="s">
        <v>1482</v>
      </c>
      <c r="S887" t="s">
        <v>1483</v>
      </c>
      <c r="T887">
        <f>I887*-0.5+M887*0.5</f>
        <v>1.8999999999999961E-2</v>
      </c>
      <c r="U887">
        <f>I887*0.7+M887*-0.25+D887*-0.25</f>
        <v>0.29600000000000004</v>
      </c>
      <c r="V887">
        <f>J887*0.5+I887*-0.5</f>
        <v>-0.45035500000000001</v>
      </c>
      <c r="W887">
        <f>M887*0.5+G887*0.25+I887*0.25</f>
        <v>0.89250000000000007</v>
      </c>
    </row>
    <row r="888" spans="1:23" x14ac:dyDescent="0.2">
      <c r="A888">
        <v>0.17799999999999999</v>
      </c>
      <c r="B888">
        <v>2</v>
      </c>
      <c r="C888">
        <v>4</v>
      </c>
      <c r="D888">
        <v>0.36399999999999999</v>
      </c>
      <c r="E888">
        <v>-3.718</v>
      </c>
      <c r="F888">
        <v>235187</v>
      </c>
      <c r="G888">
        <v>0.75600000000000001</v>
      </c>
      <c r="H888">
        <v>233</v>
      </c>
      <c r="I888">
        <v>0.65400000000000003</v>
      </c>
      <c r="J888">
        <v>7.4399999999999994E-2</v>
      </c>
      <c r="K888" t="s">
        <v>2133</v>
      </c>
      <c r="L888">
        <v>16</v>
      </c>
      <c r="M888">
        <v>0.69099999999999995</v>
      </c>
      <c r="N888">
        <v>104.999</v>
      </c>
      <c r="O888">
        <v>0</v>
      </c>
      <c r="P888">
        <v>1</v>
      </c>
      <c r="Q888">
        <v>8</v>
      </c>
      <c r="R888" t="s">
        <v>1772</v>
      </c>
      <c r="S888" t="s">
        <v>2134</v>
      </c>
      <c r="T888">
        <f>I888*-0.5+M888*0.5</f>
        <v>1.8499999999999961E-2</v>
      </c>
      <c r="U888">
        <f>I888*0.7+M888*-0.25+D888*-0.25</f>
        <v>0.19405000000000003</v>
      </c>
      <c r="V888">
        <f>J888*0.5+I888*-0.5</f>
        <v>-0.2898</v>
      </c>
      <c r="W888">
        <f>M888*0.5+G888*0.25+I888*0.25</f>
        <v>0.69799999999999995</v>
      </c>
    </row>
    <row r="889" spans="1:23" x14ac:dyDescent="0.2">
      <c r="A889">
        <v>9.6699999999999994E-2</v>
      </c>
      <c r="B889">
        <v>11</v>
      </c>
      <c r="C889">
        <v>4</v>
      </c>
      <c r="D889">
        <v>0.20899999999999999</v>
      </c>
      <c r="E889">
        <v>-6.7450000000000001</v>
      </c>
      <c r="F889">
        <v>253573</v>
      </c>
      <c r="G889">
        <v>0.60499999999999998</v>
      </c>
      <c r="H889">
        <v>253</v>
      </c>
      <c r="I889">
        <v>0.57899999999999996</v>
      </c>
      <c r="J889">
        <v>0.29099999999999998</v>
      </c>
      <c r="K889" t="s">
        <v>2693</v>
      </c>
      <c r="L889">
        <v>26</v>
      </c>
      <c r="M889">
        <v>0.61399999999999999</v>
      </c>
      <c r="N889">
        <v>86.491</v>
      </c>
      <c r="O889">
        <v>0</v>
      </c>
      <c r="P889">
        <v>1</v>
      </c>
      <c r="Q889">
        <v>7</v>
      </c>
      <c r="R889" t="s">
        <v>2694</v>
      </c>
      <c r="S889" t="s">
        <v>2695</v>
      </c>
      <c r="T889">
        <f>I889*-0.5+M889*0.5</f>
        <v>1.7500000000000016E-2</v>
      </c>
      <c r="U889">
        <f>I889*0.7+M889*-0.25+D889*-0.25</f>
        <v>0.19954999999999992</v>
      </c>
      <c r="V889">
        <f>J889*0.5+I889*-0.5</f>
        <v>-0.14399999999999999</v>
      </c>
      <c r="W889">
        <f>M889*0.5+G889*0.25+I889*0.25</f>
        <v>0.60299999999999998</v>
      </c>
    </row>
    <row r="890" spans="1:23" x14ac:dyDescent="0.2">
      <c r="A890">
        <v>2.9100000000000001E-2</v>
      </c>
      <c r="B890">
        <v>11</v>
      </c>
      <c r="C890">
        <v>4</v>
      </c>
      <c r="D890">
        <v>0.19700000000000001</v>
      </c>
      <c r="E890">
        <v>-3.113</v>
      </c>
      <c r="F890">
        <v>194267</v>
      </c>
      <c r="G890">
        <v>0.73</v>
      </c>
      <c r="H890">
        <v>200</v>
      </c>
      <c r="I890">
        <v>0.69299999999999995</v>
      </c>
      <c r="J890">
        <v>0.19700000000000001</v>
      </c>
      <c r="K890" t="s">
        <v>2402</v>
      </c>
      <c r="L890">
        <v>34</v>
      </c>
      <c r="M890">
        <v>0.72799999999999998</v>
      </c>
      <c r="N890">
        <v>130.06100000000001</v>
      </c>
      <c r="O890">
        <v>0</v>
      </c>
      <c r="P890">
        <v>1</v>
      </c>
      <c r="Q890">
        <v>9</v>
      </c>
      <c r="R890" t="s">
        <v>567</v>
      </c>
      <c r="S890" t="s">
        <v>2403</v>
      </c>
      <c r="T890">
        <f>I890*-0.5+M890*0.5</f>
        <v>1.7500000000000016E-2</v>
      </c>
      <c r="U890">
        <f>I890*0.7+M890*-0.25+D890*-0.25</f>
        <v>0.25384999999999991</v>
      </c>
      <c r="V890">
        <f>J890*0.5+I890*-0.5</f>
        <v>-0.24799999999999997</v>
      </c>
      <c r="W890">
        <f>M890*0.5+G890*0.25+I890*0.25</f>
        <v>0.71975</v>
      </c>
    </row>
    <row r="891" spans="1:23" x14ac:dyDescent="0.2">
      <c r="A891">
        <v>0.13700000000000001</v>
      </c>
      <c r="B891">
        <v>11</v>
      </c>
      <c r="C891">
        <v>4</v>
      </c>
      <c r="D891">
        <v>0.186</v>
      </c>
      <c r="E891">
        <v>-2.218</v>
      </c>
      <c r="F891">
        <v>217213</v>
      </c>
      <c r="G891">
        <v>0.78400000000000003</v>
      </c>
      <c r="H891">
        <v>216</v>
      </c>
      <c r="I891">
        <v>0.77600000000000002</v>
      </c>
      <c r="J891">
        <v>9.8299999999999998E-2</v>
      </c>
      <c r="K891" t="s">
        <v>2034</v>
      </c>
      <c r="L891">
        <v>17</v>
      </c>
      <c r="M891">
        <v>0.81100000000000005</v>
      </c>
      <c r="N891">
        <v>104.97</v>
      </c>
      <c r="O891">
        <v>0</v>
      </c>
      <c r="P891">
        <v>0</v>
      </c>
      <c r="Q891">
        <v>1</v>
      </c>
      <c r="R891" t="s">
        <v>491</v>
      </c>
      <c r="S891" t="s">
        <v>2035</v>
      </c>
      <c r="T891">
        <f>I891*-0.5+M891*0.5</f>
        <v>1.7500000000000016E-2</v>
      </c>
      <c r="U891">
        <f>I891*0.7+M891*-0.25+D891*-0.25</f>
        <v>0.29395000000000004</v>
      </c>
      <c r="V891">
        <f>J891*0.5+I891*-0.5</f>
        <v>-0.33884999999999998</v>
      </c>
      <c r="W891">
        <f>M891*0.5+G891*0.25+I891*0.25</f>
        <v>0.7955000000000001</v>
      </c>
    </row>
    <row r="892" spans="1:23" x14ac:dyDescent="0.2">
      <c r="A892">
        <v>4.2200000000000001E-2</v>
      </c>
      <c r="B892">
        <v>11</v>
      </c>
      <c r="C892">
        <v>4</v>
      </c>
      <c r="D892">
        <v>0.38</v>
      </c>
      <c r="E892">
        <v>-4.2939999999999996</v>
      </c>
      <c r="F892">
        <v>202760</v>
      </c>
      <c r="G892">
        <v>0.69499999999999995</v>
      </c>
      <c r="H892">
        <v>201</v>
      </c>
      <c r="I892">
        <v>0.85299999999999998</v>
      </c>
      <c r="J892">
        <v>7.3299999999999997E-3</v>
      </c>
      <c r="K892" t="s">
        <v>1635</v>
      </c>
      <c r="L892">
        <v>42</v>
      </c>
      <c r="M892">
        <v>0.88500000000000001</v>
      </c>
      <c r="N892">
        <v>145</v>
      </c>
      <c r="O892">
        <v>5.5000000000000003E-4</v>
      </c>
      <c r="P892">
        <v>1</v>
      </c>
      <c r="Q892">
        <v>10</v>
      </c>
      <c r="R892" t="s">
        <v>1636</v>
      </c>
      <c r="S892" t="s">
        <v>1637</v>
      </c>
      <c r="T892">
        <f>I892*-0.5+M892*0.5</f>
        <v>1.6000000000000014E-2</v>
      </c>
      <c r="U892">
        <f>I892*0.7+M892*-0.25+D892*-0.25</f>
        <v>0.28084999999999993</v>
      </c>
      <c r="V892">
        <f>J892*0.5+I892*-0.5</f>
        <v>-0.42283500000000002</v>
      </c>
      <c r="W892">
        <f>M892*0.5+G892*0.25+I892*0.25</f>
        <v>0.8294999999999999</v>
      </c>
    </row>
    <row r="893" spans="1:23" x14ac:dyDescent="0.2">
      <c r="A893">
        <v>8.9899999999999994E-2</v>
      </c>
      <c r="B893">
        <v>5</v>
      </c>
      <c r="C893">
        <v>4</v>
      </c>
      <c r="D893">
        <v>0.17799999999999999</v>
      </c>
      <c r="E893">
        <v>-4.3470000000000004</v>
      </c>
      <c r="F893">
        <v>235760</v>
      </c>
      <c r="G893">
        <v>0.74299999999999999</v>
      </c>
      <c r="H893">
        <v>217</v>
      </c>
      <c r="I893">
        <v>0.94899999999999995</v>
      </c>
      <c r="J893">
        <v>3.6799999999999999E-2</v>
      </c>
      <c r="K893" t="s">
        <v>1560</v>
      </c>
      <c r="L893">
        <v>32</v>
      </c>
      <c r="M893">
        <v>0.98099999999999998</v>
      </c>
      <c r="N893">
        <v>93.003</v>
      </c>
      <c r="O893" s="1">
        <v>1.17E-6</v>
      </c>
      <c r="P893">
        <v>0</v>
      </c>
      <c r="Q893">
        <v>10</v>
      </c>
      <c r="R893" t="s">
        <v>1561</v>
      </c>
      <c r="S893" t="s">
        <v>1562</v>
      </c>
      <c r="T893">
        <f>I893*-0.5+M893*0.5</f>
        <v>1.6000000000000014E-2</v>
      </c>
      <c r="U893">
        <f>I893*0.7+M893*-0.25+D893*-0.25</f>
        <v>0.37454999999999994</v>
      </c>
      <c r="V893">
        <f>J893*0.5+I893*-0.5</f>
        <v>-0.45609999999999995</v>
      </c>
      <c r="W893">
        <f>M893*0.5+G893*0.25+I893*0.25</f>
        <v>0.91349999999999998</v>
      </c>
    </row>
    <row r="894" spans="1:23" x14ac:dyDescent="0.2">
      <c r="A894">
        <v>5.8900000000000001E-2</v>
      </c>
      <c r="B894">
        <v>4</v>
      </c>
      <c r="C894">
        <v>4</v>
      </c>
      <c r="D894">
        <v>0.32400000000000001</v>
      </c>
      <c r="E894">
        <v>-2.5590000000000002</v>
      </c>
      <c r="F894">
        <v>182960</v>
      </c>
      <c r="G894">
        <v>0.63</v>
      </c>
      <c r="H894">
        <v>179</v>
      </c>
      <c r="I894">
        <v>0.90400000000000003</v>
      </c>
      <c r="J894">
        <v>1.8599999999999998E-2</v>
      </c>
      <c r="K894" t="s">
        <v>1592</v>
      </c>
      <c r="L894">
        <v>46</v>
      </c>
      <c r="M894">
        <v>0.93400000000000005</v>
      </c>
      <c r="N894">
        <v>89.992000000000004</v>
      </c>
      <c r="O894">
        <v>0</v>
      </c>
      <c r="P894">
        <v>1</v>
      </c>
      <c r="Q894">
        <v>16</v>
      </c>
      <c r="R894" t="s">
        <v>1111</v>
      </c>
      <c r="S894" t="s">
        <v>1593</v>
      </c>
      <c r="T894">
        <f>I894*-0.5+M894*0.5</f>
        <v>1.5000000000000013E-2</v>
      </c>
      <c r="U894">
        <f>I894*0.7+M894*-0.25+D894*-0.25</f>
        <v>0.31829999999999997</v>
      </c>
      <c r="V894">
        <f>J894*0.5+I894*-0.5</f>
        <v>-0.44270000000000004</v>
      </c>
      <c r="W894">
        <f>M894*0.5+G894*0.25+I894*0.25</f>
        <v>0.85050000000000003</v>
      </c>
    </row>
    <row r="895" spans="1:23" x14ac:dyDescent="0.2">
      <c r="A895">
        <v>3.7699999999999997E-2</v>
      </c>
      <c r="B895">
        <v>11</v>
      </c>
      <c r="C895">
        <v>4</v>
      </c>
      <c r="D895">
        <v>0.193</v>
      </c>
      <c r="E895">
        <v>-6.7350000000000003</v>
      </c>
      <c r="F895">
        <v>227833</v>
      </c>
      <c r="G895">
        <v>0.79900000000000004</v>
      </c>
      <c r="H895">
        <v>225</v>
      </c>
      <c r="I895">
        <v>0.55600000000000005</v>
      </c>
      <c r="J895">
        <v>0.16200000000000001</v>
      </c>
      <c r="K895" t="s">
        <v>2487</v>
      </c>
      <c r="L895">
        <v>52</v>
      </c>
      <c r="M895">
        <v>0.58599999999999997</v>
      </c>
      <c r="N895">
        <v>120.97</v>
      </c>
      <c r="O895" s="1">
        <v>2.03E-6</v>
      </c>
      <c r="P895">
        <v>1</v>
      </c>
      <c r="Q895">
        <v>7</v>
      </c>
      <c r="R895" t="s">
        <v>2488</v>
      </c>
      <c r="S895" t="s">
        <v>2489</v>
      </c>
      <c r="T895">
        <f>I895*-0.5+M895*0.5</f>
        <v>1.4999999999999958E-2</v>
      </c>
      <c r="U895">
        <f>I895*0.7+M895*-0.25+D895*-0.25</f>
        <v>0.19445000000000001</v>
      </c>
      <c r="V895">
        <f>J895*0.5+I895*-0.5</f>
        <v>-0.19700000000000001</v>
      </c>
      <c r="W895">
        <f>M895*0.5+G895*0.25+I895*0.25</f>
        <v>0.63175000000000003</v>
      </c>
    </row>
    <row r="896" spans="1:23" x14ac:dyDescent="0.2">
      <c r="A896">
        <v>3.56E-2</v>
      </c>
      <c r="B896">
        <v>1</v>
      </c>
      <c r="C896">
        <v>4</v>
      </c>
      <c r="D896">
        <v>0.16200000000000001</v>
      </c>
      <c r="E896">
        <v>-3.4750000000000001</v>
      </c>
      <c r="F896">
        <v>246467</v>
      </c>
      <c r="G896">
        <v>0.755</v>
      </c>
      <c r="H896">
        <v>245</v>
      </c>
      <c r="I896">
        <v>0.73599999999999999</v>
      </c>
      <c r="J896">
        <v>0.218</v>
      </c>
      <c r="K896" t="s">
        <v>2417</v>
      </c>
      <c r="L896">
        <v>25</v>
      </c>
      <c r="M896">
        <v>0.76500000000000001</v>
      </c>
      <c r="N896">
        <v>119.95399999999999</v>
      </c>
      <c r="O896">
        <v>0</v>
      </c>
      <c r="P896">
        <v>1</v>
      </c>
      <c r="Q896">
        <v>3</v>
      </c>
      <c r="R896" t="s">
        <v>2418</v>
      </c>
      <c r="S896" t="s">
        <v>2419</v>
      </c>
      <c r="T896">
        <f>I896*-0.5+M896*0.5</f>
        <v>1.4500000000000013E-2</v>
      </c>
      <c r="U896">
        <f>I896*0.7+M896*-0.25+D896*-0.25</f>
        <v>0.28344999999999998</v>
      </c>
      <c r="V896">
        <f>J896*0.5+I896*-0.5</f>
        <v>-0.25900000000000001</v>
      </c>
      <c r="W896">
        <f>M896*0.5+G896*0.25+I896*0.25</f>
        <v>0.75524999999999998</v>
      </c>
    </row>
    <row r="897" spans="1:23" x14ac:dyDescent="0.2">
      <c r="A897">
        <v>0.216</v>
      </c>
      <c r="B897">
        <v>3</v>
      </c>
      <c r="C897">
        <v>4</v>
      </c>
      <c r="D897">
        <v>5.04E-2</v>
      </c>
      <c r="E897">
        <v>-6.5620000000000003</v>
      </c>
      <c r="F897">
        <v>205000</v>
      </c>
      <c r="G897">
        <v>0.67600000000000005</v>
      </c>
      <c r="H897">
        <v>203</v>
      </c>
      <c r="I897">
        <v>0.53300000000000003</v>
      </c>
      <c r="J897">
        <v>2.41E-2</v>
      </c>
      <c r="K897" t="s">
        <v>2192</v>
      </c>
      <c r="L897">
        <v>13</v>
      </c>
      <c r="M897">
        <v>0.56100000000000005</v>
      </c>
      <c r="N897">
        <v>89.947000000000003</v>
      </c>
      <c r="O897">
        <v>0</v>
      </c>
      <c r="P897">
        <v>0</v>
      </c>
      <c r="Q897">
        <v>3</v>
      </c>
      <c r="R897" t="s">
        <v>2193</v>
      </c>
      <c r="S897" t="s">
        <v>529</v>
      </c>
      <c r="T897">
        <f>I897*-0.5+M897*0.5</f>
        <v>1.4000000000000012E-2</v>
      </c>
      <c r="U897">
        <f>I897*0.7+M897*-0.25+D897*-0.25</f>
        <v>0.22024999999999997</v>
      </c>
      <c r="V897">
        <f>J897*0.5+I897*-0.5</f>
        <v>-0.25445000000000001</v>
      </c>
      <c r="W897">
        <f>M897*0.5+G897*0.25+I897*0.25</f>
        <v>0.58274999999999999</v>
      </c>
    </row>
    <row r="898" spans="1:23" x14ac:dyDescent="0.2">
      <c r="A898">
        <v>0.24399999999999999</v>
      </c>
      <c r="B898">
        <v>5</v>
      </c>
      <c r="C898">
        <v>4</v>
      </c>
      <c r="D898">
        <v>9.0800000000000006E-2</v>
      </c>
      <c r="E898">
        <v>-7.1139999999999999</v>
      </c>
      <c r="F898">
        <v>268333</v>
      </c>
      <c r="G898">
        <v>0.57299999999999995</v>
      </c>
      <c r="H898">
        <v>218</v>
      </c>
      <c r="I898">
        <v>0.57799999999999996</v>
      </c>
      <c r="J898">
        <v>2.9E-4</v>
      </c>
      <c r="K898" t="s">
        <v>2073</v>
      </c>
      <c r="L898">
        <v>13</v>
      </c>
      <c r="M898">
        <v>0.60599999999999998</v>
      </c>
      <c r="N898">
        <v>176.44900000000001</v>
      </c>
      <c r="O898">
        <v>0</v>
      </c>
      <c r="P898">
        <v>0</v>
      </c>
      <c r="Q898">
        <v>5</v>
      </c>
      <c r="R898" t="s">
        <v>2074</v>
      </c>
      <c r="S898" t="s">
        <v>2075</v>
      </c>
      <c r="T898">
        <f>I898*-0.5+M898*0.5</f>
        <v>1.4000000000000012E-2</v>
      </c>
      <c r="U898">
        <f>I898*0.7+M898*-0.25+D898*-0.25</f>
        <v>0.23039999999999999</v>
      </c>
      <c r="V898">
        <f>J898*0.5+I898*-0.5</f>
        <v>-0.28885499999999997</v>
      </c>
      <c r="W898">
        <f>M898*0.5+G898*0.25+I898*0.25</f>
        <v>0.59075</v>
      </c>
    </row>
    <row r="899" spans="1:23" x14ac:dyDescent="0.2">
      <c r="A899">
        <v>0.12</v>
      </c>
      <c r="B899">
        <v>7</v>
      </c>
      <c r="C899">
        <v>4</v>
      </c>
      <c r="D899">
        <v>8.6400000000000005E-2</v>
      </c>
      <c r="E899">
        <v>-6.5880000000000001</v>
      </c>
      <c r="F899">
        <v>197933</v>
      </c>
      <c r="G899">
        <v>0.66500000000000004</v>
      </c>
      <c r="H899">
        <v>193</v>
      </c>
      <c r="I899">
        <v>0.69699999999999995</v>
      </c>
      <c r="J899">
        <v>3.4000000000000002E-2</v>
      </c>
      <c r="K899" t="s">
        <v>1997</v>
      </c>
      <c r="L899">
        <v>59</v>
      </c>
      <c r="M899">
        <v>0.72499999999999998</v>
      </c>
      <c r="N899">
        <v>101.96</v>
      </c>
      <c r="O899" s="1">
        <v>9.1700000000000003E-6</v>
      </c>
      <c r="P899">
        <v>0</v>
      </c>
      <c r="Q899">
        <v>10</v>
      </c>
      <c r="R899" t="s">
        <v>769</v>
      </c>
      <c r="S899" t="s">
        <v>1998</v>
      </c>
      <c r="T899">
        <f>I899*-0.5+M899*0.5</f>
        <v>1.4000000000000012E-2</v>
      </c>
      <c r="U899">
        <f>I899*0.7+M899*-0.25+D899*-0.25</f>
        <v>0.28504999999999997</v>
      </c>
      <c r="V899">
        <f>J899*0.5+I899*-0.5</f>
        <v>-0.33149999999999996</v>
      </c>
      <c r="W899">
        <f>M899*0.5+G899*0.25+I899*0.25</f>
        <v>0.70300000000000007</v>
      </c>
    </row>
    <row r="900" spans="1:23" x14ac:dyDescent="0.2">
      <c r="A900">
        <v>5.7599999999999998E-2</v>
      </c>
      <c r="B900">
        <v>9</v>
      </c>
      <c r="C900">
        <v>4</v>
      </c>
      <c r="D900">
        <v>0.23300000000000001</v>
      </c>
      <c r="E900">
        <v>-5.867</v>
      </c>
      <c r="F900">
        <v>197693</v>
      </c>
      <c r="G900">
        <v>0.71499999999999997</v>
      </c>
      <c r="H900">
        <v>216</v>
      </c>
      <c r="I900">
        <v>0.78700000000000003</v>
      </c>
      <c r="J900">
        <v>6.8900000000000003E-2</v>
      </c>
      <c r="K900" t="s">
        <v>1962</v>
      </c>
      <c r="L900">
        <v>5</v>
      </c>
      <c r="M900">
        <v>0.81499999999999995</v>
      </c>
      <c r="N900">
        <v>106.001</v>
      </c>
      <c r="O900">
        <v>0</v>
      </c>
      <c r="P900">
        <v>1</v>
      </c>
      <c r="Q900">
        <v>5</v>
      </c>
      <c r="R900" t="s">
        <v>1715</v>
      </c>
      <c r="S900" t="s">
        <v>1963</v>
      </c>
      <c r="T900">
        <f>I900*-0.5+M900*0.5</f>
        <v>1.3999999999999957E-2</v>
      </c>
      <c r="U900">
        <f>I900*0.7+M900*-0.25+D900*-0.25</f>
        <v>0.28889999999999993</v>
      </c>
      <c r="V900">
        <f>J900*0.5+I900*-0.5</f>
        <v>-0.35905000000000004</v>
      </c>
      <c r="W900">
        <f>M900*0.5+G900*0.25+I900*0.25</f>
        <v>0.78299999999999992</v>
      </c>
    </row>
    <row r="901" spans="1:23" x14ac:dyDescent="0.2">
      <c r="A901">
        <v>0.14699999999999999</v>
      </c>
      <c r="B901">
        <v>5</v>
      </c>
      <c r="C901">
        <v>4</v>
      </c>
      <c r="D901">
        <v>7.4200000000000002E-2</v>
      </c>
      <c r="E901">
        <v>-3.1789999999999998</v>
      </c>
      <c r="F901">
        <v>227027</v>
      </c>
      <c r="G901">
        <v>0.64400000000000002</v>
      </c>
      <c r="H901">
        <v>224</v>
      </c>
      <c r="I901">
        <v>0.85199999999999998</v>
      </c>
      <c r="J901">
        <v>0.32500000000000001</v>
      </c>
      <c r="K901" t="s">
        <v>2520</v>
      </c>
      <c r="L901">
        <v>46</v>
      </c>
      <c r="M901">
        <v>0.879</v>
      </c>
      <c r="N901">
        <v>82.518000000000001</v>
      </c>
      <c r="O901">
        <v>0</v>
      </c>
      <c r="P901">
        <v>0</v>
      </c>
      <c r="Q901">
        <v>3</v>
      </c>
      <c r="R901" t="s">
        <v>2521</v>
      </c>
      <c r="S901" t="s">
        <v>2304</v>
      </c>
      <c r="T901">
        <f>I901*-0.5+M901*0.5</f>
        <v>1.3500000000000012E-2</v>
      </c>
      <c r="U901">
        <f>I901*0.7+M901*-0.25+D901*-0.25</f>
        <v>0.35809999999999992</v>
      </c>
      <c r="V901">
        <f>J901*0.5+I901*-0.5</f>
        <v>-0.26349999999999996</v>
      </c>
      <c r="W901">
        <f>M901*0.5+G901*0.25+I901*0.25</f>
        <v>0.8135</v>
      </c>
    </row>
    <row r="902" spans="1:23" x14ac:dyDescent="0.2">
      <c r="A902">
        <v>2.8799999999999999E-2</v>
      </c>
      <c r="B902">
        <v>2</v>
      </c>
      <c r="C902">
        <v>4</v>
      </c>
      <c r="D902">
        <v>0.14199999999999999</v>
      </c>
      <c r="E902">
        <v>-13.432</v>
      </c>
      <c r="F902">
        <v>143133</v>
      </c>
      <c r="G902">
        <v>0.58899999999999997</v>
      </c>
      <c r="H902">
        <v>140</v>
      </c>
      <c r="I902">
        <v>0.23599999999999999</v>
      </c>
      <c r="J902">
        <v>0.58699999999999997</v>
      </c>
      <c r="K902" t="s">
        <v>3079</v>
      </c>
      <c r="L902">
        <v>36</v>
      </c>
      <c r="M902">
        <v>0.26200000000000001</v>
      </c>
      <c r="N902">
        <v>116.13800000000001</v>
      </c>
      <c r="O902" s="1">
        <v>4.2100000000000003E-6</v>
      </c>
      <c r="P902">
        <v>1</v>
      </c>
      <c r="Q902">
        <v>19</v>
      </c>
      <c r="R902" t="s">
        <v>3080</v>
      </c>
      <c r="S902" t="s">
        <v>3081</v>
      </c>
      <c r="T902">
        <f>I902*-0.5+M902*0.5</f>
        <v>1.3000000000000012E-2</v>
      </c>
      <c r="U902">
        <f>I902*0.7+M902*-0.25+D902*-0.25</f>
        <v>6.4199999999999979E-2</v>
      </c>
      <c r="V902">
        <f>J902*0.5+I902*-0.5</f>
        <v>0.17549999999999999</v>
      </c>
      <c r="W902">
        <f>M902*0.5+G902*0.25+I902*0.25</f>
        <v>0.33724999999999999</v>
      </c>
    </row>
    <row r="903" spans="1:23" x14ac:dyDescent="0.2">
      <c r="A903">
        <v>6.6500000000000004E-2</v>
      </c>
      <c r="B903">
        <v>4</v>
      </c>
      <c r="C903">
        <v>4</v>
      </c>
      <c r="D903">
        <v>0.33700000000000002</v>
      </c>
      <c r="E903">
        <v>-4.4219999999999997</v>
      </c>
      <c r="F903">
        <v>193000</v>
      </c>
      <c r="G903">
        <v>0.60699999999999998</v>
      </c>
      <c r="H903">
        <v>192</v>
      </c>
      <c r="I903">
        <v>0.85199999999999998</v>
      </c>
      <c r="J903">
        <v>2.4600000000000002E-4</v>
      </c>
      <c r="K903" t="s">
        <v>1658</v>
      </c>
      <c r="L903">
        <v>17</v>
      </c>
      <c r="M903">
        <v>0.878</v>
      </c>
      <c r="N903">
        <v>119.955</v>
      </c>
      <c r="O903">
        <v>0</v>
      </c>
      <c r="P903">
        <v>1</v>
      </c>
      <c r="Q903">
        <v>18</v>
      </c>
      <c r="R903" t="s">
        <v>1659</v>
      </c>
      <c r="S903">
        <v>1985</v>
      </c>
      <c r="T903">
        <f>I903*-0.5+M903*0.5</f>
        <v>1.3000000000000012E-2</v>
      </c>
      <c r="U903">
        <f>I903*0.7+M903*-0.25+D903*-0.25</f>
        <v>0.29264999999999991</v>
      </c>
      <c r="V903">
        <f>J903*0.5+I903*-0.5</f>
        <v>-0.42587700000000001</v>
      </c>
      <c r="W903">
        <f>M903*0.5+G903*0.25+I903*0.25</f>
        <v>0.80374999999999996</v>
      </c>
    </row>
    <row r="904" spans="1:23" x14ac:dyDescent="0.2">
      <c r="A904">
        <v>5.57E-2</v>
      </c>
      <c r="B904">
        <v>1</v>
      </c>
      <c r="C904">
        <v>4</v>
      </c>
      <c r="D904">
        <v>0.23300000000000001</v>
      </c>
      <c r="E904">
        <v>-4.3460000000000001</v>
      </c>
      <c r="F904">
        <v>225427</v>
      </c>
      <c r="G904">
        <v>0.68500000000000005</v>
      </c>
      <c r="H904">
        <v>223</v>
      </c>
      <c r="I904">
        <v>0.85199999999999998</v>
      </c>
      <c r="J904">
        <v>3.2100000000000002E-3</v>
      </c>
      <c r="K904" t="s">
        <v>1664</v>
      </c>
      <c r="L904">
        <v>13</v>
      </c>
      <c r="M904">
        <v>0.878</v>
      </c>
      <c r="N904">
        <v>88.027000000000001</v>
      </c>
      <c r="O904">
        <v>0</v>
      </c>
      <c r="P904">
        <v>1</v>
      </c>
      <c r="Q904">
        <v>10</v>
      </c>
      <c r="R904" t="s">
        <v>1665</v>
      </c>
      <c r="S904" t="s">
        <v>1666</v>
      </c>
      <c r="T904">
        <f>I904*-0.5+M904*0.5</f>
        <v>1.3000000000000012E-2</v>
      </c>
      <c r="U904">
        <f>I904*0.7+M904*-0.25+D904*-0.25</f>
        <v>0.31864999999999988</v>
      </c>
      <c r="V904">
        <f>J904*0.5+I904*-0.5</f>
        <v>-0.42439499999999997</v>
      </c>
      <c r="W904">
        <f>M904*0.5+G904*0.25+I904*0.25</f>
        <v>0.82324999999999993</v>
      </c>
    </row>
    <row r="905" spans="1:23" x14ac:dyDescent="0.2">
      <c r="A905">
        <v>0.153</v>
      </c>
      <c r="B905">
        <v>11</v>
      </c>
      <c r="C905">
        <v>4</v>
      </c>
      <c r="D905">
        <v>6.4899999999999999E-2</v>
      </c>
      <c r="E905">
        <v>-7.6779999999999999</v>
      </c>
      <c r="F905">
        <v>258667</v>
      </c>
      <c r="G905">
        <v>0.70099999999999996</v>
      </c>
      <c r="H905">
        <v>195</v>
      </c>
      <c r="I905">
        <v>0.57599999999999996</v>
      </c>
      <c r="J905">
        <v>0.19700000000000001</v>
      </c>
      <c r="K905" t="s">
        <v>2542</v>
      </c>
      <c r="L905">
        <v>8</v>
      </c>
      <c r="M905">
        <v>0.60099999999999998</v>
      </c>
      <c r="N905">
        <v>83.433000000000007</v>
      </c>
      <c r="O905">
        <v>0</v>
      </c>
      <c r="P905">
        <v>0</v>
      </c>
      <c r="Q905">
        <v>3</v>
      </c>
      <c r="R905" t="s">
        <v>1199</v>
      </c>
      <c r="S905" t="s">
        <v>2543</v>
      </c>
      <c r="T905">
        <f>I905*-0.5+M905*0.5</f>
        <v>1.2500000000000011E-2</v>
      </c>
      <c r="U905">
        <f>I905*0.7+M905*-0.25+D905*-0.25</f>
        <v>0.23672499999999996</v>
      </c>
      <c r="V905">
        <f>J905*0.5+I905*-0.5</f>
        <v>-0.18949999999999997</v>
      </c>
      <c r="W905">
        <f>M905*0.5+G905*0.25+I905*0.25</f>
        <v>0.61975000000000002</v>
      </c>
    </row>
    <row r="906" spans="1:23" x14ac:dyDescent="0.2">
      <c r="A906">
        <v>3.7499999999999999E-2</v>
      </c>
      <c r="B906">
        <v>8</v>
      </c>
      <c r="C906">
        <v>4</v>
      </c>
      <c r="D906">
        <v>0.111</v>
      </c>
      <c r="E906">
        <v>-6.08</v>
      </c>
      <c r="F906">
        <v>211800</v>
      </c>
      <c r="G906">
        <v>0.68400000000000005</v>
      </c>
      <c r="H906">
        <v>209</v>
      </c>
      <c r="I906">
        <v>0.76900000000000002</v>
      </c>
      <c r="J906">
        <v>3.44E-2</v>
      </c>
      <c r="K906" t="s">
        <v>1913</v>
      </c>
      <c r="L906">
        <v>43</v>
      </c>
      <c r="M906">
        <v>0.79400000000000004</v>
      </c>
      <c r="N906">
        <v>120.024</v>
      </c>
      <c r="O906">
        <v>4.4499999999999998E-2</v>
      </c>
      <c r="P906">
        <v>0</v>
      </c>
      <c r="Q906">
        <v>5</v>
      </c>
      <c r="R906" t="s">
        <v>267</v>
      </c>
      <c r="S906" t="s">
        <v>1914</v>
      </c>
      <c r="T906">
        <f>I906*-0.5+M906*0.5</f>
        <v>1.2500000000000011E-2</v>
      </c>
      <c r="U906">
        <f>I906*0.7+M906*-0.25+D906*-0.25</f>
        <v>0.31204999999999999</v>
      </c>
      <c r="V906">
        <f>J906*0.5+I906*-0.5</f>
        <v>-0.36730000000000002</v>
      </c>
      <c r="W906">
        <f>M906*0.5+G906*0.25+I906*0.25</f>
        <v>0.76025000000000009</v>
      </c>
    </row>
    <row r="907" spans="1:23" x14ac:dyDescent="0.2">
      <c r="A907">
        <v>0.124</v>
      </c>
      <c r="B907">
        <v>1</v>
      </c>
      <c r="C907">
        <v>4</v>
      </c>
      <c r="D907">
        <v>0.157</v>
      </c>
      <c r="E907">
        <v>-4.6890000000000001</v>
      </c>
      <c r="F907">
        <v>175427</v>
      </c>
      <c r="G907">
        <v>0.72</v>
      </c>
      <c r="H907">
        <v>175</v>
      </c>
      <c r="I907">
        <v>0.76700000000000002</v>
      </c>
      <c r="J907">
        <v>3.8399999999999997E-2</v>
      </c>
      <c r="K907" t="s">
        <v>1929</v>
      </c>
      <c r="L907">
        <v>47</v>
      </c>
      <c r="M907">
        <v>0.79100000000000004</v>
      </c>
      <c r="N907">
        <v>102.071</v>
      </c>
      <c r="O907">
        <v>0</v>
      </c>
      <c r="P907">
        <v>1</v>
      </c>
      <c r="Q907">
        <v>20</v>
      </c>
      <c r="R907" t="s">
        <v>1930</v>
      </c>
      <c r="S907" t="s">
        <v>1931</v>
      </c>
      <c r="T907">
        <f>I907*-0.5+M907*0.5</f>
        <v>1.2000000000000011E-2</v>
      </c>
      <c r="U907">
        <f>I907*0.7+M907*-0.25+D907*-0.25</f>
        <v>0.29989999999999994</v>
      </c>
      <c r="V907">
        <f>J907*0.5+I907*-0.5</f>
        <v>-0.36430000000000001</v>
      </c>
      <c r="W907">
        <f>M907*0.5+G907*0.25+I907*0.25</f>
        <v>0.76724999999999999</v>
      </c>
    </row>
    <row r="908" spans="1:23" x14ac:dyDescent="0.2">
      <c r="A908">
        <v>0.124</v>
      </c>
      <c r="B908">
        <v>1</v>
      </c>
      <c r="C908">
        <v>4</v>
      </c>
      <c r="D908">
        <v>0.157</v>
      </c>
      <c r="E908">
        <v>-4.6890000000000001</v>
      </c>
      <c r="F908">
        <v>175427</v>
      </c>
      <c r="G908">
        <v>0.72</v>
      </c>
      <c r="H908">
        <v>172</v>
      </c>
      <c r="I908">
        <v>0.76700000000000002</v>
      </c>
      <c r="J908">
        <v>3.8399999999999997E-2</v>
      </c>
      <c r="K908" t="s">
        <v>1929</v>
      </c>
      <c r="L908">
        <v>51</v>
      </c>
      <c r="M908">
        <v>0.79100000000000004</v>
      </c>
      <c r="N908">
        <v>102.071</v>
      </c>
      <c r="O908">
        <v>0</v>
      </c>
      <c r="P908">
        <v>1</v>
      </c>
      <c r="Q908">
        <v>5</v>
      </c>
      <c r="R908" t="s">
        <v>1930</v>
      </c>
      <c r="S908" t="s">
        <v>1931</v>
      </c>
      <c r="T908">
        <f>I908*-0.5+M908*0.5</f>
        <v>1.2000000000000011E-2</v>
      </c>
      <c r="U908">
        <f>I908*0.7+M908*-0.25+D908*-0.25</f>
        <v>0.29989999999999994</v>
      </c>
      <c r="V908">
        <f>J908*0.5+I908*-0.5</f>
        <v>-0.36430000000000001</v>
      </c>
      <c r="W908">
        <f>M908*0.5+G908*0.25+I908*0.25</f>
        <v>0.76724999999999999</v>
      </c>
    </row>
    <row r="909" spans="1:23" x14ac:dyDescent="0.2">
      <c r="A909">
        <v>0.36</v>
      </c>
      <c r="B909">
        <v>10</v>
      </c>
      <c r="C909">
        <v>4</v>
      </c>
      <c r="D909">
        <v>0.11</v>
      </c>
      <c r="E909">
        <v>-4.133</v>
      </c>
      <c r="F909">
        <v>187973</v>
      </c>
      <c r="G909">
        <v>0.45500000000000002</v>
      </c>
      <c r="H909">
        <v>186</v>
      </c>
      <c r="I909">
        <v>0.77300000000000002</v>
      </c>
      <c r="J909">
        <v>0.13200000000000001</v>
      </c>
      <c r="K909" t="s">
        <v>2173</v>
      </c>
      <c r="L909">
        <v>61</v>
      </c>
      <c r="M909">
        <v>0.79700000000000004</v>
      </c>
      <c r="N909">
        <v>165.71700000000001</v>
      </c>
      <c r="O909">
        <v>0</v>
      </c>
      <c r="P909">
        <v>0</v>
      </c>
      <c r="Q909">
        <v>14</v>
      </c>
      <c r="R909" t="s">
        <v>884</v>
      </c>
      <c r="S909" t="s">
        <v>2174</v>
      </c>
      <c r="T909">
        <f>I909*-0.5+M909*0.5</f>
        <v>1.2000000000000011E-2</v>
      </c>
      <c r="U909">
        <f>I909*0.7+M909*-0.25+D909*-0.25</f>
        <v>0.31434999999999996</v>
      </c>
      <c r="V909">
        <f>J909*0.5+I909*-0.5</f>
        <v>-0.32050000000000001</v>
      </c>
      <c r="W909">
        <f>M909*0.5+G909*0.25+I909*0.25</f>
        <v>0.70550000000000002</v>
      </c>
    </row>
    <row r="910" spans="1:23" x14ac:dyDescent="0.2">
      <c r="A910">
        <v>5.9499999999999997E-2</v>
      </c>
      <c r="B910">
        <v>4</v>
      </c>
      <c r="C910">
        <v>4</v>
      </c>
      <c r="D910">
        <v>0.29399999999999998</v>
      </c>
      <c r="E910">
        <v>-2.9319999999999999</v>
      </c>
      <c r="F910">
        <v>232800</v>
      </c>
      <c r="G910">
        <v>0.71</v>
      </c>
      <c r="H910">
        <v>224</v>
      </c>
      <c r="I910">
        <v>0.85799999999999998</v>
      </c>
      <c r="J910">
        <v>7.77E-3</v>
      </c>
      <c r="K910" t="s">
        <v>1687</v>
      </c>
      <c r="L910">
        <v>43</v>
      </c>
      <c r="M910">
        <v>0.88200000000000001</v>
      </c>
      <c r="N910">
        <v>128.01599999999999</v>
      </c>
      <c r="O910">
        <v>7.7099999999999998E-3</v>
      </c>
      <c r="P910">
        <v>0</v>
      </c>
      <c r="Q910">
        <v>8</v>
      </c>
      <c r="R910" t="s">
        <v>1688</v>
      </c>
      <c r="S910" t="s">
        <v>1689</v>
      </c>
      <c r="T910">
        <f>I910*-0.5+M910*0.5</f>
        <v>1.2000000000000011E-2</v>
      </c>
      <c r="U910">
        <f>I910*0.7+M910*-0.25+D910*-0.25</f>
        <v>0.30659999999999987</v>
      </c>
      <c r="V910">
        <f>J910*0.5+I910*-0.5</f>
        <v>-0.42511499999999997</v>
      </c>
      <c r="W910">
        <f>M910*0.5+G910*0.25+I910*0.25</f>
        <v>0.83300000000000007</v>
      </c>
    </row>
    <row r="911" spans="1:23" x14ac:dyDescent="0.2">
      <c r="A911">
        <v>7.1400000000000005E-2</v>
      </c>
      <c r="B911">
        <v>8</v>
      </c>
      <c r="C911">
        <v>4</v>
      </c>
      <c r="D911">
        <v>0.114</v>
      </c>
      <c r="E911">
        <v>-4.5570000000000004</v>
      </c>
      <c r="F911">
        <v>237213</v>
      </c>
      <c r="G911">
        <v>0.84799999999999998</v>
      </c>
      <c r="H911">
        <v>236</v>
      </c>
      <c r="I911">
        <v>0.80400000000000005</v>
      </c>
      <c r="J911">
        <v>0.13600000000000001</v>
      </c>
      <c r="K911" t="s">
        <v>2143</v>
      </c>
      <c r="L911">
        <v>31</v>
      </c>
      <c r="M911">
        <v>0.82799999999999996</v>
      </c>
      <c r="N911">
        <v>119</v>
      </c>
      <c r="O911" s="1">
        <v>1.35E-6</v>
      </c>
      <c r="P911">
        <v>0</v>
      </c>
      <c r="Q911">
        <v>3</v>
      </c>
      <c r="R911" t="s">
        <v>270</v>
      </c>
      <c r="S911" t="s">
        <v>2144</v>
      </c>
      <c r="T911">
        <f>I911*-0.5+M911*0.5</f>
        <v>1.1999999999999955E-2</v>
      </c>
      <c r="U911">
        <f>I911*0.7+M911*-0.25+D911*-0.25</f>
        <v>0.32729999999999998</v>
      </c>
      <c r="V911">
        <f>J911*0.5+I911*-0.5</f>
        <v>-0.33400000000000002</v>
      </c>
      <c r="W911">
        <f>M911*0.5+G911*0.25+I911*0.25</f>
        <v>0.82699999999999996</v>
      </c>
    </row>
    <row r="912" spans="1:23" x14ac:dyDescent="0.2">
      <c r="A912">
        <v>0.41599999999999998</v>
      </c>
      <c r="B912">
        <v>1</v>
      </c>
      <c r="C912">
        <v>5</v>
      </c>
      <c r="D912">
        <v>8.3099999999999993E-2</v>
      </c>
      <c r="E912">
        <v>-5.931</v>
      </c>
      <c r="F912">
        <v>252653</v>
      </c>
      <c r="G912">
        <v>0.64</v>
      </c>
      <c r="H912">
        <v>200</v>
      </c>
      <c r="I912">
        <v>0.59799999999999998</v>
      </c>
      <c r="J912">
        <v>1.6E-2</v>
      </c>
      <c r="K912" t="s">
        <v>2110</v>
      </c>
      <c r="L912">
        <v>22</v>
      </c>
      <c r="M912">
        <v>0.62</v>
      </c>
      <c r="N912">
        <v>129.37</v>
      </c>
      <c r="O912">
        <v>0</v>
      </c>
      <c r="P912">
        <v>1</v>
      </c>
      <c r="Q912">
        <v>6</v>
      </c>
      <c r="R912" t="s">
        <v>2111</v>
      </c>
      <c r="S912" t="s">
        <v>2112</v>
      </c>
      <c r="T912">
        <f>I912*-0.5+M912*0.5</f>
        <v>1.100000000000001E-2</v>
      </c>
      <c r="U912">
        <f>I912*0.7+M912*-0.25+D912*-0.25</f>
        <v>0.24282499999999996</v>
      </c>
      <c r="V912">
        <f>J912*0.5+I912*-0.5</f>
        <v>-0.29099999999999998</v>
      </c>
      <c r="W912">
        <f>M912*0.5+G912*0.25+I912*0.25</f>
        <v>0.61949999999999994</v>
      </c>
    </row>
    <row r="913" spans="1:23" x14ac:dyDescent="0.2">
      <c r="A913">
        <v>0.25800000000000001</v>
      </c>
      <c r="B913">
        <v>6</v>
      </c>
      <c r="C913">
        <v>4</v>
      </c>
      <c r="D913">
        <v>0.20599999999999999</v>
      </c>
      <c r="E913">
        <v>-6.4029999999999996</v>
      </c>
      <c r="F913">
        <v>211160</v>
      </c>
      <c r="G913">
        <v>0.63300000000000001</v>
      </c>
      <c r="H913">
        <v>209</v>
      </c>
      <c r="I913">
        <v>0.65100000000000002</v>
      </c>
      <c r="J913">
        <v>0.29699999999999999</v>
      </c>
      <c r="K913" t="s">
        <v>2676</v>
      </c>
      <c r="L913">
        <v>35</v>
      </c>
      <c r="M913">
        <v>0.67300000000000004</v>
      </c>
      <c r="N913">
        <v>86.775999999999996</v>
      </c>
      <c r="O913">
        <v>0</v>
      </c>
      <c r="P913">
        <v>0</v>
      </c>
      <c r="Q913">
        <v>8</v>
      </c>
      <c r="R913" t="s">
        <v>2677</v>
      </c>
      <c r="S913" t="s">
        <v>2678</v>
      </c>
      <c r="T913">
        <f>I913*-0.5+M913*0.5</f>
        <v>1.100000000000001E-2</v>
      </c>
      <c r="U913">
        <f>I913*0.7+M913*-0.25+D913*-0.25</f>
        <v>0.23594999999999999</v>
      </c>
      <c r="V913">
        <f>J913*0.5+I913*-0.5</f>
        <v>-0.17700000000000002</v>
      </c>
      <c r="W913">
        <f>M913*0.5+G913*0.25+I913*0.25</f>
        <v>0.65749999999999997</v>
      </c>
    </row>
    <row r="914" spans="1:23" x14ac:dyDescent="0.2">
      <c r="A914">
        <v>0.121</v>
      </c>
      <c r="B914">
        <v>10</v>
      </c>
      <c r="C914">
        <v>4</v>
      </c>
      <c r="D914">
        <v>0.249</v>
      </c>
      <c r="E914">
        <v>-6.16</v>
      </c>
      <c r="F914">
        <v>211000</v>
      </c>
      <c r="G914">
        <v>0.78900000000000003</v>
      </c>
      <c r="H914">
        <v>208</v>
      </c>
      <c r="I914">
        <v>0.63</v>
      </c>
      <c r="J914">
        <v>4.0099999999999997E-2</v>
      </c>
      <c r="K914" t="s">
        <v>2141</v>
      </c>
      <c r="L914">
        <v>30</v>
      </c>
      <c r="M914">
        <v>0.65</v>
      </c>
      <c r="N914">
        <v>87.983000000000004</v>
      </c>
      <c r="O914">
        <v>0</v>
      </c>
      <c r="P914">
        <v>0</v>
      </c>
      <c r="Q914">
        <v>5</v>
      </c>
      <c r="R914" t="s">
        <v>496</v>
      </c>
      <c r="S914" t="s">
        <v>2142</v>
      </c>
      <c r="T914">
        <f>I914*-0.5+M914*0.5</f>
        <v>1.0000000000000009E-2</v>
      </c>
      <c r="U914">
        <f>I914*0.7+M914*-0.25+D914*-0.25</f>
        <v>0.21624999999999997</v>
      </c>
      <c r="V914">
        <f>J914*0.5+I914*-0.5</f>
        <v>-0.29494999999999999</v>
      </c>
      <c r="W914">
        <f>M914*0.5+G914*0.25+I914*0.25</f>
        <v>0.67974999999999997</v>
      </c>
    </row>
    <row r="915" spans="1:23" x14ac:dyDescent="0.2">
      <c r="A915">
        <v>0.221</v>
      </c>
      <c r="B915">
        <v>4</v>
      </c>
      <c r="C915">
        <v>4</v>
      </c>
      <c r="D915">
        <v>0.23499999999999999</v>
      </c>
      <c r="E915">
        <v>-6.7779999999999996</v>
      </c>
      <c r="F915">
        <v>183013</v>
      </c>
      <c r="G915">
        <v>0.72299999999999998</v>
      </c>
      <c r="H915">
        <v>255</v>
      </c>
      <c r="I915">
        <v>0.85299999999999998</v>
      </c>
      <c r="J915">
        <v>0.06</v>
      </c>
      <c r="K915" t="s">
        <v>1887</v>
      </c>
      <c r="L915">
        <v>16</v>
      </c>
      <c r="M915">
        <v>0.873</v>
      </c>
      <c r="N915">
        <v>162.55799999999999</v>
      </c>
      <c r="O915">
        <v>0</v>
      </c>
      <c r="P915">
        <v>0</v>
      </c>
      <c r="Q915">
        <v>11</v>
      </c>
      <c r="R915" t="s">
        <v>1888</v>
      </c>
      <c r="S915" t="s">
        <v>1889</v>
      </c>
      <c r="T915">
        <f>I915*-0.5+M915*0.5</f>
        <v>1.0000000000000009E-2</v>
      </c>
      <c r="U915">
        <f>I915*0.7+M915*-0.25+D915*-0.25</f>
        <v>0.32009999999999994</v>
      </c>
      <c r="V915">
        <f>J915*0.5+I915*-0.5</f>
        <v>-0.39649999999999996</v>
      </c>
      <c r="W915">
        <f>M915*0.5+G915*0.25+I915*0.25</f>
        <v>0.83050000000000002</v>
      </c>
    </row>
    <row r="916" spans="1:23" x14ac:dyDescent="0.2">
      <c r="A916">
        <v>4.9099999999999998E-2</v>
      </c>
      <c r="B916">
        <v>1</v>
      </c>
      <c r="C916">
        <v>4</v>
      </c>
      <c r="D916">
        <v>0.31900000000000001</v>
      </c>
      <c r="E916">
        <v>-4.1959999999999997</v>
      </c>
      <c r="F916">
        <v>225360</v>
      </c>
      <c r="G916">
        <v>0.68799999999999994</v>
      </c>
      <c r="H916">
        <v>152</v>
      </c>
      <c r="I916">
        <v>0.96</v>
      </c>
      <c r="J916">
        <v>3.8999999999999999E-4</v>
      </c>
      <c r="K916" t="s">
        <v>1444</v>
      </c>
      <c r="L916">
        <v>8</v>
      </c>
      <c r="M916">
        <v>0.97899999999999998</v>
      </c>
      <c r="N916">
        <v>119.901</v>
      </c>
      <c r="O916">
        <v>0.71699999999999997</v>
      </c>
      <c r="P916">
        <v>0</v>
      </c>
      <c r="Q916">
        <v>13</v>
      </c>
      <c r="R916" t="s">
        <v>1445</v>
      </c>
      <c r="S916" t="s">
        <v>1446</v>
      </c>
      <c r="T916">
        <f>I916*-0.5+M916*0.5</f>
        <v>9.5000000000000084E-3</v>
      </c>
      <c r="U916">
        <f>I916*0.7+M916*-0.25+D916*-0.25</f>
        <v>0.34749999999999992</v>
      </c>
      <c r="V916">
        <f>J916*0.5+I916*-0.5</f>
        <v>-0.47980499999999998</v>
      </c>
      <c r="W916">
        <f>M916*0.5+G916*0.25+I916*0.25</f>
        <v>0.90149999999999997</v>
      </c>
    </row>
    <row r="917" spans="1:23" x14ac:dyDescent="0.2">
      <c r="A917">
        <v>3.39E-2</v>
      </c>
      <c r="B917">
        <v>11</v>
      </c>
      <c r="C917">
        <v>4</v>
      </c>
      <c r="D917">
        <v>0.40400000000000003</v>
      </c>
      <c r="E917">
        <v>-3.8780000000000001</v>
      </c>
      <c r="F917">
        <v>201467</v>
      </c>
      <c r="G917">
        <v>0.73499999999999999</v>
      </c>
      <c r="H917">
        <v>199</v>
      </c>
      <c r="I917">
        <v>0.84199999999999997</v>
      </c>
      <c r="J917">
        <v>5.2500000000000003E-3</v>
      </c>
      <c r="K917" t="s">
        <v>1743</v>
      </c>
      <c r="L917">
        <v>23</v>
      </c>
      <c r="M917">
        <v>0.86</v>
      </c>
      <c r="N917">
        <v>124.05200000000001</v>
      </c>
      <c r="O917">
        <v>1.92E-4</v>
      </c>
      <c r="P917">
        <v>0</v>
      </c>
      <c r="Q917">
        <v>16</v>
      </c>
      <c r="R917" t="s">
        <v>1715</v>
      </c>
      <c r="S917" t="s">
        <v>1744</v>
      </c>
      <c r="T917">
        <f>I917*-0.5+M917*0.5</f>
        <v>9.000000000000008E-3</v>
      </c>
      <c r="U917">
        <f>I917*0.7+M917*-0.25+D917*-0.25</f>
        <v>0.27339999999999998</v>
      </c>
      <c r="V917">
        <f>J917*0.5+I917*-0.5</f>
        <v>-0.418375</v>
      </c>
      <c r="W917">
        <f>M917*0.5+G917*0.25+I917*0.25</f>
        <v>0.82425000000000004</v>
      </c>
    </row>
    <row r="918" spans="1:23" x14ac:dyDescent="0.2">
      <c r="A918">
        <v>3.1699999999999999E-2</v>
      </c>
      <c r="B918">
        <v>4</v>
      </c>
      <c r="C918">
        <v>4</v>
      </c>
      <c r="D918">
        <v>0.111</v>
      </c>
      <c r="E918">
        <v>-4.8559999999999999</v>
      </c>
      <c r="F918">
        <v>216454</v>
      </c>
      <c r="G918">
        <v>0.65900000000000003</v>
      </c>
      <c r="H918">
        <v>216</v>
      </c>
      <c r="I918">
        <v>0.88200000000000001</v>
      </c>
      <c r="J918">
        <v>2.16E-3</v>
      </c>
      <c r="K918" t="s">
        <v>1644</v>
      </c>
      <c r="L918">
        <v>56</v>
      </c>
      <c r="M918">
        <v>0.9</v>
      </c>
      <c r="N918">
        <v>118.04</v>
      </c>
      <c r="O918">
        <v>0</v>
      </c>
      <c r="P918">
        <v>1</v>
      </c>
      <c r="Q918">
        <v>8</v>
      </c>
      <c r="R918" t="s">
        <v>149</v>
      </c>
      <c r="S918" t="s">
        <v>1645</v>
      </c>
      <c r="T918">
        <f>I918*-0.5+M918*0.5</f>
        <v>9.000000000000008E-3</v>
      </c>
      <c r="U918">
        <f>I918*0.7+M918*-0.25+D918*-0.25</f>
        <v>0.36464999999999997</v>
      </c>
      <c r="V918">
        <f>J918*0.5+I918*-0.5</f>
        <v>-0.43991999999999998</v>
      </c>
      <c r="W918">
        <f>M918*0.5+G918*0.25+I918*0.25</f>
        <v>0.83525000000000005</v>
      </c>
    </row>
    <row r="919" spans="1:23" x14ac:dyDescent="0.2">
      <c r="A919">
        <v>9.7900000000000001E-2</v>
      </c>
      <c r="B919">
        <v>5</v>
      </c>
      <c r="C919">
        <v>4</v>
      </c>
      <c r="D919">
        <v>0.33500000000000002</v>
      </c>
      <c r="E919">
        <v>-7.218</v>
      </c>
      <c r="F919">
        <v>200680</v>
      </c>
      <c r="G919">
        <v>0.80300000000000005</v>
      </c>
      <c r="H919">
        <v>199</v>
      </c>
      <c r="I919">
        <v>0.48799999999999999</v>
      </c>
      <c r="J919">
        <v>1.6500000000000001E-2</v>
      </c>
      <c r="K919" t="s">
        <v>2297</v>
      </c>
      <c r="L919">
        <v>58</v>
      </c>
      <c r="M919">
        <v>0.504</v>
      </c>
      <c r="N919">
        <v>111.014</v>
      </c>
      <c r="O919" s="1">
        <v>5.2499999999999997E-6</v>
      </c>
      <c r="P919">
        <v>0</v>
      </c>
      <c r="Q919">
        <v>3</v>
      </c>
      <c r="R919" t="s">
        <v>140</v>
      </c>
      <c r="S919" t="s">
        <v>2298</v>
      </c>
      <c r="T919">
        <f>I919*-0.5+M919*0.5</f>
        <v>8.0000000000000071E-3</v>
      </c>
      <c r="U919">
        <f>I919*0.7+M919*-0.25+D919*-0.25</f>
        <v>0.13184999999999997</v>
      </c>
      <c r="V919">
        <f>J919*0.5+I919*-0.5</f>
        <v>-0.23574999999999999</v>
      </c>
      <c r="W919">
        <f>M919*0.5+G919*0.25+I919*0.25</f>
        <v>0.57474999999999998</v>
      </c>
    </row>
    <row r="920" spans="1:23" x14ac:dyDescent="0.2">
      <c r="A920">
        <v>4.8899999999999999E-2</v>
      </c>
      <c r="B920">
        <v>10</v>
      </c>
      <c r="C920">
        <v>4</v>
      </c>
      <c r="D920">
        <v>4.0399999999999998E-2</v>
      </c>
      <c r="E920">
        <v>-3.5409999999999999</v>
      </c>
      <c r="F920">
        <v>190787</v>
      </c>
      <c r="G920">
        <v>0.44600000000000001</v>
      </c>
      <c r="H920">
        <v>187</v>
      </c>
      <c r="I920">
        <v>0.88400000000000001</v>
      </c>
      <c r="J920">
        <v>1.02E-4</v>
      </c>
      <c r="K920" t="s">
        <v>1642</v>
      </c>
      <c r="L920">
        <v>40</v>
      </c>
      <c r="M920">
        <v>0.9</v>
      </c>
      <c r="N920">
        <v>187.96100000000001</v>
      </c>
      <c r="O920" s="1">
        <v>1.8899999999999999E-5</v>
      </c>
      <c r="P920">
        <v>0</v>
      </c>
      <c r="Q920">
        <v>13</v>
      </c>
      <c r="R920" t="s">
        <v>38</v>
      </c>
      <c r="S920" t="s">
        <v>1643</v>
      </c>
      <c r="T920">
        <f>I920*-0.5+M920*0.5</f>
        <v>8.0000000000000071E-3</v>
      </c>
      <c r="U920">
        <f>I920*0.7+M920*-0.25+D920*-0.25</f>
        <v>0.38370000000000004</v>
      </c>
      <c r="V920">
        <f>J920*0.5+I920*-0.5</f>
        <v>-0.44194899999999998</v>
      </c>
      <c r="W920">
        <f>M920*0.5+G920*0.25+I920*0.25</f>
        <v>0.78249999999999997</v>
      </c>
    </row>
    <row r="921" spans="1:23" x14ac:dyDescent="0.2">
      <c r="A921">
        <v>2.6499999999999999E-2</v>
      </c>
      <c r="B921">
        <v>2</v>
      </c>
      <c r="C921">
        <v>4</v>
      </c>
      <c r="D921">
        <v>0.128</v>
      </c>
      <c r="E921">
        <v>-4.891</v>
      </c>
      <c r="F921">
        <v>190733</v>
      </c>
      <c r="G921">
        <v>0.61799999999999999</v>
      </c>
      <c r="H921">
        <v>190</v>
      </c>
      <c r="I921">
        <v>0.85699999999999998</v>
      </c>
      <c r="J921">
        <v>8.5199999999999998E-2</v>
      </c>
      <c r="K921" t="s">
        <v>1967</v>
      </c>
      <c r="L921">
        <v>7</v>
      </c>
      <c r="M921">
        <v>0.871</v>
      </c>
      <c r="N921">
        <v>134.47499999999999</v>
      </c>
      <c r="O921">
        <v>0</v>
      </c>
      <c r="P921">
        <v>1</v>
      </c>
      <c r="Q921">
        <v>18</v>
      </c>
      <c r="R921" t="s">
        <v>119</v>
      </c>
      <c r="S921" t="s">
        <v>1968</v>
      </c>
      <c r="T921">
        <f>I921*-0.5+M921*0.5</f>
        <v>7.0000000000000062E-3</v>
      </c>
      <c r="U921">
        <f>I921*0.7+M921*-0.25+D921*-0.25</f>
        <v>0.35014999999999996</v>
      </c>
      <c r="V921">
        <f>J921*0.5+I921*-0.5</f>
        <v>-0.38590000000000002</v>
      </c>
      <c r="W921">
        <f>M921*0.5+G921*0.25+I921*0.25</f>
        <v>0.80424999999999991</v>
      </c>
    </row>
    <row r="922" spans="1:23" x14ac:dyDescent="0.2">
      <c r="A922">
        <v>4.1099999999999998E-2</v>
      </c>
      <c r="B922">
        <v>8</v>
      </c>
      <c r="C922">
        <v>4</v>
      </c>
      <c r="D922">
        <v>0.59099999999999997</v>
      </c>
      <c r="E922">
        <v>-3.6789999999999998</v>
      </c>
      <c r="F922">
        <v>230120</v>
      </c>
      <c r="G922">
        <v>0.61199999999999999</v>
      </c>
      <c r="H922">
        <v>196</v>
      </c>
      <c r="I922">
        <v>0.93300000000000005</v>
      </c>
      <c r="J922">
        <v>1.04E-2</v>
      </c>
      <c r="K922" t="s">
        <v>1599</v>
      </c>
      <c r="L922">
        <v>26</v>
      </c>
      <c r="M922">
        <v>0.94599999999999995</v>
      </c>
      <c r="N922">
        <v>119.96599999999999</v>
      </c>
      <c r="O922" s="1">
        <v>2.6400000000000001E-6</v>
      </c>
      <c r="P922">
        <v>0</v>
      </c>
      <c r="Q922">
        <v>2</v>
      </c>
      <c r="R922" t="s">
        <v>1600</v>
      </c>
      <c r="S922" t="s">
        <v>1601</v>
      </c>
      <c r="T922">
        <f>I922*-0.5+M922*0.5</f>
        <v>6.4999999999999503E-3</v>
      </c>
      <c r="U922">
        <f>I922*0.7+M922*-0.25+D922*-0.25</f>
        <v>0.26885000000000003</v>
      </c>
      <c r="V922">
        <f>J922*0.5+I922*-0.5</f>
        <v>-0.46130000000000004</v>
      </c>
      <c r="W922">
        <f>M922*0.5+G922*0.25+I922*0.25</f>
        <v>0.85925000000000007</v>
      </c>
    </row>
    <row r="923" spans="1:23" x14ac:dyDescent="0.2">
      <c r="A923">
        <v>0.124</v>
      </c>
      <c r="B923">
        <v>6</v>
      </c>
      <c r="C923">
        <v>4</v>
      </c>
      <c r="D923">
        <v>4.9799999999999997E-2</v>
      </c>
      <c r="E923">
        <v>-4.609</v>
      </c>
      <c r="F923">
        <v>210200</v>
      </c>
      <c r="G923">
        <v>0.66200000000000003</v>
      </c>
      <c r="H923">
        <v>208</v>
      </c>
      <c r="I923">
        <v>0.80700000000000005</v>
      </c>
      <c r="J923">
        <v>5.3699999999999998E-3</v>
      </c>
      <c r="K923" t="s">
        <v>1818</v>
      </c>
      <c r="L923">
        <v>41</v>
      </c>
      <c r="M923">
        <v>0.81899999999999995</v>
      </c>
      <c r="N923">
        <v>122.95099999999999</v>
      </c>
      <c r="O923">
        <v>0</v>
      </c>
      <c r="P923">
        <v>1</v>
      </c>
      <c r="Q923">
        <v>9</v>
      </c>
      <c r="R923" t="s">
        <v>1819</v>
      </c>
      <c r="S923" t="s">
        <v>1820</v>
      </c>
      <c r="T923">
        <f>I923*-0.5+M923*0.5</f>
        <v>5.9999999999999498E-3</v>
      </c>
      <c r="U923">
        <f>I923*0.7+M923*-0.25+D923*-0.25</f>
        <v>0.34769999999999995</v>
      </c>
      <c r="V923">
        <f>J923*0.5+I923*-0.5</f>
        <v>-0.40081500000000003</v>
      </c>
      <c r="W923">
        <f>M923*0.5+G923*0.25+I923*0.25</f>
        <v>0.77674999999999994</v>
      </c>
    </row>
    <row r="924" spans="1:23" x14ac:dyDescent="0.2">
      <c r="A924">
        <v>0.154</v>
      </c>
      <c r="B924">
        <v>1</v>
      </c>
      <c r="C924">
        <v>4</v>
      </c>
      <c r="D924">
        <v>0.11799999999999999</v>
      </c>
      <c r="E924">
        <v>-6.9109999999999996</v>
      </c>
      <c r="F924">
        <v>469333</v>
      </c>
      <c r="G924">
        <v>0.88200000000000001</v>
      </c>
      <c r="H924">
        <v>269</v>
      </c>
      <c r="I924">
        <v>0.65200000000000002</v>
      </c>
      <c r="J924">
        <v>9.1200000000000003E-2</v>
      </c>
      <c r="K924" t="s">
        <v>2284</v>
      </c>
      <c r="L924">
        <v>15</v>
      </c>
      <c r="M924">
        <v>0.66300000000000003</v>
      </c>
      <c r="N924">
        <v>122.67</v>
      </c>
      <c r="O924">
        <v>0</v>
      </c>
      <c r="P924">
        <v>1</v>
      </c>
      <c r="Q924">
        <v>4</v>
      </c>
      <c r="R924" t="s">
        <v>2285</v>
      </c>
      <c r="S924" t="s">
        <v>2286</v>
      </c>
      <c r="T924">
        <f>I924*-0.5+M924*0.5</f>
        <v>5.5000000000000049E-3</v>
      </c>
      <c r="U924">
        <f>I924*0.7+M924*-0.25+D924*-0.25</f>
        <v>0.26114999999999999</v>
      </c>
      <c r="V924">
        <f>J924*0.5+I924*-0.5</f>
        <v>-0.28039999999999998</v>
      </c>
      <c r="W924">
        <f>M924*0.5+G924*0.25+I924*0.25</f>
        <v>0.71500000000000008</v>
      </c>
    </row>
    <row r="925" spans="1:23" x14ac:dyDescent="0.2">
      <c r="A925">
        <v>5.4199999999999998E-2</v>
      </c>
      <c r="B925">
        <v>5</v>
      </c>
      <c r="C925">
        <v>4</v>
      </c>
      <c r="D925">
        <v>7.2999999999999995E-2</v>
      </c>
      <c r="E925">
        <v>-7.7149999999999999</v>
      </c>
      <c r="F925">
        <v>257733</v>
      </c>
      <c r="G925">
        <v>0.69</v>
      </c>
      <c r="H925">
        <v>255</v>
      </c>
      <c r="I925">
        <v>0.65400000000000003</v>
      </c>
      <c r="J925">
        <v>4.4700000000000002E-4</v>
      </c>
      <c r="K925" t="s">
        <v>2036</v>
      </c>
      <c r="L925">
        <v>4</v>
      </c>
      <c r="M925">
        <v>0.66400000000000003</v>
      </c>
      <c r="N925">
        <v>87.287000000000006</v>
      </c>
      <c r="O925">
        <v>3.4299999999999997E-2</v>
      </c>
      <c r="P925">
        <v>0</v>
      </c>
      <c r="Q925">
        <v>7</v>
      </c>
      <c r="R925" t="s">
        <v>1261</v>
      </c>
      <c r="S925" t="s">
        <v>2037</v>
      </c>
      <c r="T925">
        <f>I925*-0.5+M925*0.5</f>
        <v>5.0000000000000044E-3</v>
      </c>
      <c r="U925">
        <f>I925*0.7+M925*-0.25+D925*-0.25</f>
        <v>0.27354999999999996</v>
      </c>
      <c r="V925">
        <f>J925*0.5+I925*-0.5</f>
        <v>-0.32677650000000003</v>
      </c>
      <c r="W925">
        <f>M925*0.5+G925*0.25+I925*0.25</f>
        <v>0.66799999999999993</v>
      </c>
    </row>
    <row r="926" spans="1:23" x14ac:dyDescent="0.2">
      <c r="A926">
        <v>8.1000000000000003E-2</v>
      </c>
      <c r="B926">
        <v>8</v>
      </c>
      <c r="C926">
        <v>4</v>
      </c>
      <c r="D926">
        <v>8.4500000000000006E-2</v>
      </c>
      <c r="E926">
        <v>-5.79</v>
      </c>
      <c r="F926">
        <v>246053</v>
      </c>
      <c r="G926">
        <v>0.95099999999999996</v>
      </c>
      <c r="H926">
        <v>231</v>
      </c>
      <c r="I926">
        <v>0.78</v>
      </c>
      <c r="J926">
        <v>4.2900000000000004E-3</v>
      </c>
      <c r="K926" t="s">
        <v>1871</v>
      </c>
      <c r="L926">
        <v>29</v>
      </c>
      <c r="M926">
        <v>0.79</v>
      </c>
      <c r="N926">
        <v>117.00700000000001</v>
      </c>
      <c r="O926">
        <v>0</v>
      </c>
      <c r="P926">
        <v>1</v>
      </c>
      <c r="Q926">
        <v>7</v>
      </c>
      <c r="R926" t="s">
        <v>1872</v>
      </c>
      <c r="S926" t="s">
        <v>1873</v>
      </c>
      <c r="T926">
        <f>I926*-0.5+M926*0.5</f>
        <v>5.0000000000000044E-3</v>
      </c>
      <c r="U926">
        <f>I926*0.7+M926*-0.25+D926*-0.25</f>
        <v>0.32737499999999992</v>
      </c>
      <c r="V926">
        <f>J926*0.5+I926*-0.5</f>
        <v>-0.38785500000000001</v>
      </c>
      <c r="W926">
        <f>M926*0.5+G926*0.25+I926*0.25</f>
        <v>0.82774999999999999</v>
      </c>
    </row>
    <row r="927" spans="1:23" x14ac:dyDescent="0.2">
      <c r="A927">
        <v>4.36E-2</v>
      </c>
      <c r="B927">
        <v>7</v>
      </c>
      <c r="C927">
        <v>4</v>
      </c>
      <c r="D927">
        <v>0.109</v>
      </c>
      <c r="E927">
        <v>-6.5010000000000003</v>
      </c>
      <c r="F927">
        <v>193467</v>
      </c>
      <c r="G927">
        <v>0.78100000000000003</v>
      </c>
      <c r="H927">
        <v>192</v>
      </c>
      <c r="I927">
        <v>0.59</v>
      </c>
      <c r="J927">
        <v>1.09E-2</v>
      </c>
      <c r="K927" t="s">
        <v>2167</v>
      </c>
      <c r="L927">
        <v>43</v>
      </c>
      <c r="M927">
        <v>0.59899999999999998</v>
      </c>
      <c r="N927">
        <v>120.053</v>
      </c>
      <c r="O927" s="1">
        <v>1.1200000000000001E-6</v>
      </c>
      <c r="P927">
        <v>1</v>
      </c>
      <c r="Q927">
        <v>1</v>
      </c>
      <c r="R927" t="s">
        <v>2168</v>
      </c>
      <c r="S927" t="s">
        <v>2169</v>
      </c>
      <c r="T927">
        <f>I927*-0.5+M927*0.5</f>
        <v>4.500000000000004E-3</v>
      </c>
      <c r="U927">
        <f>I927*0.7+M927*-0.25+D927*-0.25</f>
        <v>0.23599999999999999</v>
      </c>
      <c r="V927">
        <f>J927*0.5+I927*-0.5</f>
        <v>-0.28954999999999997</v>
      </c>
      <c r="W927">
        <f>M927*0.5+G927*0.25+I927*0.25</f>
        <v>0.64224999999999999</v>
      </c>
    </row>
    <row r="928" spans="1:23" x14ac:dyDescent="0.2">
      <c r="A928">
        <v>8.8700000000000001E-2</v>
      </c>
      <c r="B928">
        <v>10</v>
      </c>
      <c r="C928">
        <v>4</v>
      </c>
      <c r="D928">
        <v>2.8899999999999999E-2</v>
      </c>
      <c r="E928">
        <v>-2.0720000000000001</v>
      </c>
      <c r="F928">
        <v>199907</v>
      </c>
      <c r="G928">
        <v>0.92</v>
      </c>
      <c r="H928">
        <v>198</v>
      </c>
      <c r="I928">
        <v>0.90900000000000003</v>
      </c>
      <c r="J928">
        <v>0.38</v>
      </c>
      <c r="K928" t="s">
        <v>2613</v>
      </c>
      <c r="L928">
        <v>19</v>
      </c>
      <c r="M928">
        <v>0.91800000000000004</v>
      </c>
      <c r="N928">
        <v>110.02</v>
      </c>
      <c r="O928" s="1">
        <v>2.7099999999999999E-6</v>
      </c>
      <c r="P928">
        <v>0</v>
      </c>
      <c r="Q928">
        <v>1</v>
      </c>
      <c r="R928" t="s">
        <v>1016</v>
      </c>
      <c r="S928" t="s">
        <v>2614</v>
      </c>
      <c r="T928">
        <f>I928*-0.5+M928*0.5</f>
        <v>4.500000000000004E-3</v>
      </c>
      <c r="U928">
        <f>I928*0.7+M928*-0.25+D928*-0.25</f>
        <v>0.39957499999999996</v>
      </c>
      <c r="V928">
        <f>J928*0.5+I928*-0.5</f>
        <v>-0.26450000000000001</v>
      </c>
      <c r="W928">
        <f>M928*0.5+G928*0.25+I928*0.25</f>
        <v>0.91625000000000001</v>
      </c>
    </row>
    <row r="929" spans="1:23" x14ac:dyDescent="0.2">
      <c r="A929">
        <v>0.307</v>
      </c>
      <c r="B929">
        <v>5</v>
      </c>
      <c r="C929">
        <v>4</v>
      </c>
      <c r="D929">
        <v>0.1</v>
      </c>
      <c r="E929">
        <v>-5.8540000000000001</v>
      </c>
      <c r="F929">
        <v>229813</v>
      </c>
      <c r="G929">
        <v>0.88600000000000001</v>
      </c>
      <c r="H929">
        <v>228</v>
      </c>
      <c r="I929">
        <v>0.61299999999999999</v>
      </c>
      <c r="J929">
        <v>8.2000000000000003E-2</v>
      </c>
      <c r="K929" t="s">
        <v>2325</v>
      </c>
      <c r="L929">
        <v>21</v>
      </c>
      <c r="M929">
        <v>0.62</v>
      </c>
      <c r="N929">
        <v>76.034999999999997</v>
      </c>
      <c r="O929">
        <v>0</v>
      </c>
      <c r="P929">
        <v>1</v>
      </c>
      <c r="Q929">
        <v>8</v>
      </c>
      <c r="R929" t="s">
        <v>2326</v>
      </c>
      <c r="S929" t="s">
        <v>2327</v>
      </c>
      <c r="T929">
        <f>I929*-0.5+M929*0.5</f>
        <v>3.5000000000000031E-3</v>
      </c>
      <c r="U929">
        <f>I929*0.7+M929*-0.25+D929*-0.25</f>
        <v>0.24910000000000002</v>
      </c>
      <c r="V929">
        <f>J929*0.5+I929*-0.5</f>
        <v>-0.26550000000000001</v>
      </c>
      <c r="W929">
        <f>M929*0.5+G929*0.25+I929*0.25</f>
        <v>0.68474999999999997</v>
      </c>
    </row>
    <row r="930" spans="1:23" x14ac:dyDescent="0.2">
      <c r="A930">
        <v>3.4099999999999998E-2</v>
      </c>
      <c r="B930">
        <v>7</v>
      </c>
      <c r="C930">
        <v>4</v>
      </c>
      <c r="D930">
        <v>7.5499999999999998E-2</v>
      </c>
      <c r="E930">
        <v>-3.1190000000000002</v>
      </c>
      <c r="F930">
        <v>218200</v>
      </c>
      <c r="G930">
        <v>0.61799999999999999</v>
      </c>
      <c r="H930">
        <v>217</v>
      </c>
      <c r="I930">
        <v>0.93400000000000005</v>
      </c>
      <c r="J930">
        <v>7.9600000000000004E-2</v>
      </c>
      <c r="K930" t="s">
        <v>1874</v>
      </c>
      <c r="L930">
        <v>5</v>
      </c>
      <c r="M930">
        <v>0.94099999999999995</v>
      </c>
      <c r="N930">
        <v>104.774</v>
      </c>
      <c r="O930" s="1">
        <v>2.5100000000000001E-6</v>
      </c>
      <c r="P930">
        <v>1</v>
      </c>
      <c r="Q930">
        <v>15</v>
      </c>
      <c r="R930" t="s">
        <v>1875</v>
      </c>
      <c r="S930" t="s">
        <v>1876</v>
      </c>
      <c r="T930">
        <f>I930*-0.5+M930*0.5</f>
        <v>3.4999999999999476E-3</v>
      </c>
      <c r="U930">
        <f>I930*0.7+M930*-0.25+D930*-0.25</f>
        <v>0.39967500000000011</v>
      </c>
      <c r="V930">
        <f>J930*0.5+I930*-0.5</f>
        <v>-0.42720000000000002</v>
      </c>
      <c r="W930">
        <f>M930*0.5+G930*0.25+I930*0.25</f>
        <v>0.85850000000000004</v>
      </c>
    </row>
    <row r="931" spans="1:23" x14ac:dyDescent="0.2">
      <c r="A931">
        <v>0.26600000000000001</v>
      </c>
      <c r="B931">
        <v>1</v>
      </c>
      <c r="C931">
        <v>4</v>
      </c>
      <c r="D931">
        <v>5.6099999999999997E-2</v>
      </c>
      <c r="E931">
        <v>-6.1269999999999998</v>
      </c>
      <c r="F931">
        <v>210227</v>
      </c>
      <c r="G931">
        <v>0.66800000000000004</v>
      </c>
      <c r="H931">
        <v>203</v>
      </c>
      <c r="I931">
        <v>0.71899999999999997</v>
      </c>
      <c r="J931">
        <v>1.0200000000000001E-2</v>
      </c>
      <c r="K931" t="s">
        <v>1986</v>
      </c>
      <c r="L931">
        <v>60</v>
      </c>
      <c r="M931">
        <v>0.72499999999999998</v>
      </c>
      <c r="N931">
        <v>191.94399999999999</v>
      </c>
      <c r="O931">
        <v>4.7899999999999999E-4</v>
      </c>
      <c r="P931">
        <v>1</v>
      </c>
      <c r="Q931">
        <v>2</v>
      </c>
      <c r="R931" t="s">
        <v>1987</v>
      </c>
      <c r="S931" t="s">
        <v>1988</v>
      </c>
      <c r="T931">
        <f>I931*-0.5+M931*0.5</f>
        <v>3.0000000000000027E-3</v>
      </c>
      <c r="U931">
        <f>I931*0.7+M931*-0.25+D931*-0.25</f>
        <v>0.30802499999999994</v>
      </c>
      <c r="V931">
        <f>J931*0.5+I931*-0.5</f>
        <v>-0.35439999999999999</v>
      </c>
      <c r="W931">
        <f>M931*0.5+G931*0.25+I931*0.25</f>
        <v>0.70924999999999994</v>
      </c>
    </row>
    <row r="932" spans="1:23" x14ac:dyDescent="0.2">
      <c r="A932">
        <v>4.0099999999999997E-2</v>
      </c>
      <c r="B932">
        <v>10</v>
      </c>
      <c r="C932">
        <v>4</v>
      </c>
      <c r="D932">
        <v>6.1800000000000001E-2</v>
      </c>
      <c r="E932">
        <v>-3.8029999999999999</v>
      </c>
      <c r="F932">
        <v>211960</v>
      </c>
      <c r="G932">
        <v>0.65400000000000003</v>
      </c>
      <c r="H932">
        <v>210</v>
      </c>
      <c r="I932">
        <v>0.72</v>
      </c>
      <c r="J932">
        <v>3.1099999999999999E-2</v>
      </c>
      <c r="K932" t="s">
        <v>2051</v>
      </c>
      <c r="L932">
        <v>51</v>
      </c>
      <c r="M932">
        <v>0.72599999999999998</v>
      </c>
      <c r="N932">
        <v>103.98699999999999</v>
      </c>
      <c r="O932" s="1">
        <v>6.3499999999999999E-5</v>
      </c>
      <c r="P932">
        <v>0</v>
      </c>
      <c r="Q932">
        <v>11</v>
      </c>
      <c r="R932" t="s">
        <v>2052</v>
      </c>
      <c r="S932" t="s">
        <v>2053</v>
      </c>
      <c r="T932">
        <f>I932*-0.5+M932*0.5</f>
        <v>3.0000000000000027E-3</v>
      </c>
      <c r="U932">
        <f>I932*0.7+M932*-0.25+D932*-0.25</f>
        <v>0.30704999999999999</v>
      </c>
      <c r="V932">
        <f>J932*0.5+I932*-0.5</f>
        <v>-0.34444999999999998</v>
      </c>
      <c r="W932">
        <f>M932*0.5+G932*0.25+I932*0.25</f>
        <v>0.70649999999999991</v>
      </c>
    </row>
    <row r="933" spans="1:23" x14ac:dyDescent="0.2">
      <c r="A933">
        <v>6.4799999999999996E-2</v>
      </c>
      <c r="B933">
        <v>0</v>
      </c>
      <c r="C933">
        <v>4</v>
      </c>
      <c r="D933">
        <v>0.20499999999999999</v>
      </c>
      <c r="E933">
        <v>-2.206</v>
      </c>
      <c r="F933">
        <v>239240</v>
      </c>
      <c r="G933">
        <v>0.71499999999999997</v>
      </c>
      <c r="H933">
        <v>231</v>
      </c>
      <c r="I933">
        <v>0.96399999999999997</v>
      </c>
      <c r="J933">
        <v>6.4399999999999999E-2</v>
      </c>
      <c r="K933" t="s">
        <v>1788</v>
      </c>
      <c r="L933">
        <v>16</v>
      </c>
      <c r="M933">
        <v>0.97</v>
      </c>
      <c r="N933">
        <v>79.504000000000005</v>
      </c>
      <c r="O933">
        <v>1.56E-4</v>
      </c>
      <c r="P933">
        <v>1</v>
      </c>
      <c r="Q933">
        <v>2</v>
      </c>
      <c r="R933" t="s">
        <v>1789</v>
      </c>
      <c r="S933" t="s">
        <v>1790</v>
      </c>
      <c r="T933">
        <f>I933*-0.5+M933*0.5</f>
        <v>3.0000000000000027E-3</v>
      </c>
      <c r="U933">
        <f>I933*0.7+M933*-0.25+D933*-0.25</f>
        <v>0.38104999999999994</v>
      </c>
      <c r="V933">
        <f>J933*0.5+I933*-0.5</f>
        <v>-0.44979999999999998</v>
      </c>
      <c r="W933">
        <f>M933*0.5+G933*0.25+I933*0.25</f>
        <v>0.90474999999999994</v>
      </c>
    </row>
    <row r="934" spans="1:23" x14ac:dyDescent="0.2">
      <c r="A934">
        <v>0.30199999999999999</v>
      </c>
      <c r="B934">
        <v>5</v>
      </c>
      <c r="C934">
        <v>4</v>
      </c>
      <c r="D934">
        <v>0.34100000000000003</v>
      </c>
      <c r="E934">
        <v>-7.22</v>
      </c>
      <c r="F934">
        <v>337640</v>
      </c>
      <c r="G934">
        <v>0.52400000000000002</v>
      </c>
      <c r="H934">
        <v>237</v>
      </c>
      <c r="I934">
        <v>0.63</v>
      </c>
      <c r="J934">
        <v>0.27</v>
      </c>
      <c r="K934" t="s">
        <v>2687</v>
      </c>
      <c r="L934">
        <v>21</v>
      </c>
      <c r="M934">
        <v>0.63500000000000001</v>
      </c>
      <c r="N934">
        <v>127.61799999999999</v>
      </c>
      <c r="O934">
        <v>0</v>
      </c>
      <c r="P934">
        <v>0</v>
      </c>
      <c r="Q934">
        <v>11</v>
      </c>
      <c r="R934" t="s">
        <v>2688</v>
      </c>
      <c r="S934" t="s">
        <v>2689</v>
      </c>
      <c r="T934">
        <f>I934*-0.5+M934*0.5</f>
        <v>2.5000000000000022E-3</v>
      </c>
      <c r="U934">
        <f>I934*0.7+M934*-0.25+D934*-0.25</f>
        <v>0.19699999999999995</v>
      </c>
      <c r="V934">
        <f>J934*0.5+I934*-0.5</f>
        <v>-0.18</v>
      </c>
      <c r="W934">
        <f>M934*0.5+G934*0.25+I934*0.25</f>
        <v>0.60599999999999998</v>
      </c>
    </row>
    <row r="935" spans="1:23" x14ac:dyDescent="0.2">
      <c r="A935">
        <v>2.9100000000000001E-2</v>
      </c>
      <c r="B935">
        <v>4</v>
      </c>
      <c r="C935">
        <v>4</v>
      </c>
      <c r="D935">
        <v>9.2899999999999996E-2</v>
      </c>
      <c r="E935">
        <v>-5.01</v>
      </c>
      <c r="F935">
        <v>208573</v>
      </c>
      <c r="G935">
        <v>0.75700000000000001</v>
      </c>
      <c r="H935">
        <v>204</v>
      </c>
      <c r="I935">
        <v>0.60599999999999998</v>
      </c>
      <c r="J935">
        <v>8.2000000000000003E-2</v>
      </c>
      <c r="K935" t="s">
        <v>2342</v>
      </c>
      <c r="L935">
        <v>39</v>
      </c>
      <c r="M935">
        <v>0.61</v>
      </c>
      <c r="N935">
        <v>106.962</v>
      </c>
      <c r="O935">
        <v>0</v>
      </c>
      <c r="P935">
        <v>1</v>
      </c>
      <c r="Q935">
        <v>17</v>
      </c>
      <c r="R935" t="s">
        <v>2343</v>
      </c>
      <c r="S935" t="s">
        <v>2344</v>
      </c>
      <c r="T935">
        <f>I935*-0.5+M935*0.5</f>
        <v>2.0000000000000018E-3</v>
      </c>
      <c r="U935">
        <f>I935*0.7+M935*-0.25+D935*-0.25</f>
        <v>0.24847499999999995</v>
      </c>
      <c r="V935">
        <f>J935*0.5+I935*-0.5</f>
        <v>-0.26200000000000001</v>
      </c>
      <c r="W935">
        <f>M935*0.5+G935*0.25+I935*0.25</f>
        <v>0.64574999999999994</v>
      </c>
    </row>
    <row r="936" spans="1:23" x14ac:dyDescent="0.2">
      <c r="A936">
        <v>9.7600000000000006E-2</v>
      </c>
      <c r="B936">
        <v>9</v>
      </c>
      <c r="C936">
        <v>4</v>
      </c>
      <c r="D936">
        <v>0.26700000000000002</v>
      </c>
      <c r="E936">
        <v>-3.2930000000000001</v>
      </c>
      <c r="F936">
        <v>210960</v>
      </c>
      <c r="G936">
        <v>0.64600000000000002</v>
      </c>
      <c r="H936">
        <v>210</v>
      </c>
      <c r="I936">
        <v>0.79100000000000004</v>
      </c>
      <c r="J936">
        <v>3.1899999999999998E-2</v>
      </c>
      <c r="K936" t="s">
        <v>1953</v>
      </c>
      <c r="L936">
        <v>41</v>
      </c>
      <c r="M936">
        <v>0.79500000000000004</v>
      </c>
      <c r="N936">
        <v>89.99</v>
      </c>
      <c r="O936">
        <v>0</v>
      </c>
      <c r="P936">
        <v>1</v>
      </c>
      <c r="Q936">
        <v>5</v>
      </c>
      <c r="R936" t="s">
        <v>1954</v>
      </c>
      <c r="S936" t="s">
        <v>1955</v>
      </c>
      <c r="T936">
        <f>I936*-0.5+M936*0.5</f>
        <v>2.0000000000000018E-3</v>
      </c>
      <c r="U936">
        <f>I936*0.7+M936*-0.25+D936*-0.25</f>
        <v>0.28820000000000001</v>
      </c>
      <c r="V936">
        <f>J936*0.5+I936*-0.5</f>
        <v>-0.37955</v>
      </c>
      <c r="W936">
        <f>M936*0.5+G936*0.25+I936*0.25</f>
        <v>0.75675000000000003</v>
      </c>
    </row>
    <row r="937" spans="1:23" x14ac:dyDescent="0.2">
      <c r="A937">
        <v>0.121</v>
      </c>
      <c r="B937">
        <v>4</v>
      </c>
      <c r="C937">
        <v>4</v>
      </c>
      <c r="D937">
        <v>4.7100000000000003E-2</v>
      </c>
      <c r="E937">
        <v>-7.1050000000000004</v>
      </c>
      <c r="F937">
        <v>226864</v>
      </c>
      <c r="G937">
        <v>0.90400000000000003</v>
      </c>
      <c r="H937">
        <v>180</v>
      </c>
      <c r="I937">
        <v>0.80900000000000005</v>
      </c>
      <c r="J937">
        <v>3.1099999999999999E-2</v>
      </c>
      <c r="K937" t="s">
        <v>1934</v>
      </c>
      <c r="L937">
        <v>20</v>
      </c>
      <c r="M937">
        <v>0.81299999999999994</v>
      </c>
      <c r="N937">
        <v>125.461</v>
      </c>
      <c r="O937">
        <v>6.9699999999999996E-3</v>
      </c>
      <c r="P937">
        <v>0</v>
      </c>
      <c r="Q937">
        <v>1</v>
      </c>
      <c r="R937" t="s">
        <v>1935</v>
      </c>
      <c r="S937" t="s">
        <v>1936</v>
      </c>
      <c r="T937">
        <f>I937*-0.5+M937*0.5</f>
        <v>1.9999999999999463E-3</v>
      </c>
      <c r="U937">
        <f>I937*0.7+M937*-0.25+D937*-0.25</f>
        <v>0.35127500000000006</v>
      </c>
      <c r="V937">
        <f>J937*0.5+I937*-0.5</f>
        <v>-0.38895000000000002</v>
      </c>
      <c r="W937">
        <f>M937*0.5+G937*0.25+I937*0.25</f>
        <v>0.83474999999999999</v>
      </c>
    </row>
    <row r="938" spans="1:23" x14ac:dyDescent="0.2">
      <c r="A938">
        <v>3.04E-2</v>
      </c>
      <c r="B938">
        <v>2</v>
      </c>
      <c r="C938">
        <v>4</v>
      </c>
      <c r="D938">
        <v>0.11899999999999999</v>
      </c>
      <c r="E938">
        <v>-9.3770000000000007</v>
      </c>
      <c r="F938">
        <v>227427</v>
      </c>
      <c r="G938">
        <v>0.66</v>
      </c>
      <c r="H938">
        <v>226</v>
      </c>
      <c r="I938">
        <v>0.38</v>
      </c>
      <c r="J938">
        <v>0.38100000000000001</v>
      </c>
      <c r="K938" t="s">
        <v>2980</v>
      </c>
      <c r="L938">
        <v>57</v>
      </c>
      <c r="M938">
        <v>0.38300000000000001</v>
      </c>
      <c r="N938">
        <v>83.096000000000004</v>
      </c>
      <c r="O938">
        <v>0</v>
      </c>
      <c r="P938">
        <v>1</v>
      </c>
      <c r="Q938">
        <v>16</v>
      </c>
      <c r="R938" t="s">
        <v>2981</v>
      </c>
      <c r="S938" t="s">
        <v>2982</v>
      </c>
      <c r="T938">
        <f>I938*-0.5+M938*0.5</f>
        <v>1.5000000000000013E-3</v>
      </c>
      <c r="U938">
        <f>I938*0.7+M938*-0.25+D938*-0.25</f>
        <v>0.14049999999999996</v>
      </c>
      <c r="V938">
        <f>J938*0.5+I938*-0.5</f>
        <v>5.0000000000000044E-4</v>
      </c>
      <c r="W938">
        <f>M938*0.5+G938*0.25+I938*0.25</f>
        <v>0.45150000000000001</v>
      </c>
    </row>
    <row r="939" spans="1:23" x14ac:dyDescent="0.2">
      <c r="A939">
        <v>7.7899999999999997E-2</v>
      </c>
      <c r="B939">
        <v>11</v>
      </c>
      <c r="C939">
        <v>4</v>
      </c>
      <c r="D939">
        <v>0.14499999999999999</v>
      </c>
      <c r="E939">
        <v>-5.5069999999999997</v>
      </c>
      <c r="F939">
        <v>221253</v>
      </c>
      <c r="G939">
        <v>0.61499999999999999</v>
      </c>
      <c r="H939">
        <v>219</v>
      </c>
      <c r="I939">
        <v>0.70799999999999996</v>
      </c>
      <c r="J939">
        <v>4.4400000000000002E-2</v>
      </c>
      <c r="K939" t="s">
        <v>2116</v>
      </c>
      <c r="L939">
        <v>32</v>
      </c>
      <c r="M939">
        <v>0.71099999999999997</v>
      </c>
      <c r="N939">
        <v>144.036</v>
      </c>
      <c r="O939">
        <v>0</v>
      </c>
      <c r="P939">
        <v>1</v>
      </c>
      <c r="Q939">
        <v>6</v>
      </c>
      <c r="R939" t="s">
        <v>734</v>
      </c>
      <c r="S939" t="s">
        <v>2117</v>
      </c>
      <c r="T939">
        <f>I939*-0.5+M939*0.5</f>
        <v>1.5000000000000013E-3</v>
      </c>
      <c r="U939">
        <f>I939*0.7+M939*-0.25+D939*-0.25</f>
        <v>0.28159999999999996</v>
      </c>
      <c r="V939">
        <f>J939*0.5+I939*-0.5</f>
        <v>-0.33179999999999998</v>
      </c>
      <c r="W939">
        <f>M939*0.5+G939*0.25+I939*0.25</f>
        <v>0.68625000000000003</v>
      </c>
    </row>
    <row r="940" spans="1:23" x14ac:dyDescent="0.2">
      <c r="A940">
        <v>0.38100000000000001</v>
      </c>
      <c r="B940">
        <v>1</v>
      </c>
      <c r="C940">
        <v>4</v>
      </c>
      <c r="D940">
        <v>0.50900000000000001</v>
      </c>
      <c r="E940">
        <v>-6.64</v>
      </c>
      <c r="F940">
        <v>216933</v>
      </c>
      <c r="G940">
        <v>0.66</v>
      </c>
      <c r="H940">
        <v>216</v>
      </c>
      <c r="I940">
        <v>0.71699999999999997</v>
      </c>
      <c r="J940">
        <v>0.187</v>
      </c>
      <c r="K940" t="s">
        <v>2460</v>
      </c>
      <c r="L940">
        <v>34</v>
      </c>
      <c r="M940">
        <v>0.72</v>
      </c>
      <c r="N940">
        <v>84.706999999999994</v>
      </c>
      <c r="O940">
        <v>0</v>
      </c>
      <c r="P940">
        <v>1</v>
      </c>
      <c r="Q940">
        <v>7</v>
      </c>
      <c r="R940" t="s">
        <v>2461</v>
      </c>
      <c r="S940" t="s">
        <v>2462</v>
      </c>
      <c r="T940">
        <f>I940*-0.5+M940*0.5</f>
        <v>1.5000000000000013E-3</v>
      </c>
      <c r="U940">
        <f>I940*0.7+M940*-0.25+D940*-0.25</f>
        <v>0.19464999999999991</v>
      </c>
      <c r="V940">
        <f>J940*0.5+I940*-0.5</f>
        <v>-0.26500000000000001</v>
      </c>
      <c r="W940">
        <f>M940*0.5+G940*0.25+I940*0.25</f>
        <v>0.70425000000000004</v>
      </c>
    </row>
    <row r="941" spans="1:23" x14ac:dyDescent="0.2">
      <c r="A941">
        <v>5.0299999999999997E-2</v>
      </c>
      <c r="B941">
        <v>5</v>
      </c>
      <c r="C941">
        <v>4</v>
      </c>
      <c r="D941">
        <v>9.4600000000000004E-2</v>
      </c>
      <c r="E941">
        <v>-6.6639999999999997</v>
      </c>
      <c r="F941">
        <v>484147</v>
      </c>
      <c r="G941">
        <v>0.57399999999999995</v>
      </c>
      <c r="H941">
        <v>276</v>
      </c>
      <c r="I941">
        <v>0.51</v>
      </c>
      <c r="J941">
        <v>0.23400000000000001</v>
      </c>
      <c r="K941" t="s">
        <v>2747</v>
      </c>
      <c r="L941">
        <v>47</v>
      </c>
      <c r="M941">
        <v>0.51200000000000001</v>
      </c>
      <c r="N941">
        <v>76.899000000000001</v>
      </c>
      <c r="O941">
        <v>0</v>
      </c>
      <c r="P941">
        <v>0</v>
      </c>
      <c r="Q941">
        <v>2</v>
      </c>
      <c r="R941" t="s">
        <v>998</v>
      </c>
      <c r="S941" t="s">
        <v>2748</v>
      </c>
      <c r="T941">
        <f>I941*-0.5+M941*0.5</f>
        <v>1.0000000000000009E-3</v>
      </c>
      <c r="U941">
        <f>I941*0.7+M941*-0.25+D941*-0.25</f>
        <v>0.20534999999999998</v>
      </c>
      <c r="V941">
        <f>J941*0.5+I941*-0.5</f>
        <v>-0.13800000000000001</v>
      </c>
      <c r="W941">
        <f>M941*0.5+G941*0.25+I941*0.25</f>
        <v>0.52699999999999991</v>
      </c>
    </row>
    <row r="942" spans="1:23" x14ac:dyDescent="0.2">
      <c r="A942">
        <v>2.9700000000000001E-2</v>
      </c>
      <c r="B942">
        <v>9</v>
      </c>
      <c r="C942">
        <v>4</v>
      </c>
      <c r="D942">
        <v>8.48E-2</v>
      </c>
      <c r="E942">
        <v>-5.6989999999999998</v>
      </c>
      <c r="F942">
        <v>215173</v>
      </c>
      <c r="G942">
        <v>0.67200000000000004</v>
      </c>
      <c r="H942">
        <v>212</v>
      </c>
      <c r="I942">
        <v>0.621</v>
      </c>
      <c r="J942">
        <v>0.24099999999999999</v>
      </c>
      <c r="K942" t="s">
        <v>2659</v>
      </c>
      <c r="L942">
        <v>29</v>
      </c>
      <c r="M942">
        <v>0.623</v>
      </c>
      <c r="N942">
        <v>92.018000000000001</v>
      </c>
      <c r="O942">
        <v>0</v>
      </c>
      <c r="P942">
        <v>1</v>
      </c>
      <c r="Q942">
        <v>18</v>
      </c>
      <c r="R942" t="s">
        <v>2660</v>
      </c>
      <c r="S942" t="s">
        <v>2661</v>
      </c>
      <c r="T942">
        <f>I942*-0.5+M942*0.5</f>
        <v>1.0000000000000009E-3</v>
      </c>
      <c r="U942">
        <f>I942*0.7+M942*-0.25+D942*-0.25</f>
        <v>0.25774999999999998</v>
      </c>
      <c r="V942">
        <f>J942*0.5+I942*-0.5</f>
        <v>-0.19</v>
      </c>
      <c r="W942">
        <f>M942*0.5+G942*0.25+I942*0.25</f>
        <v>0.63475000000000004</v>
      </c>
    </row>
    <row r="943" spans="1:23" x14ac:dyDescent="0.2">
      <c r="A943">
        <v>5.67E-2</v>
      </c>
      <c r="B943">
        <v>1</v>
      </c>
      <c r="C943">
        <v>4</v>
      </c>
      <c r="D943">
        <v>5.3699999999999998E-2</v>
      </c>
      <c r="E943">
        <v>-4.6390000000000002</v>
      </c>
      <c r="F943">
        <v>230200</v>
      </c>
      <c r="G943">
        <v>0.77100000000000002</v>
      </c>
      <c r="H943">
        <v>227</v>
      </c>
      <c r="I943">
        <v>0.68300000000000005</v>
      </c>
      <c r="J943">
        <v>5.4299999999999999E-3</v>
      </c>
      <c r="K943" t="s">
        <v>2044</v>
      </c>
      <c r="L943">
        <v>5</v>
      </c>
      <c r="M943">
        <v>0.68500000000000005</v>
      </c>
      <c r="N943">
        <v>88.997</v>
      </c>
      <c r="O943">
        <v>1.57E-3</v>
      </c>
      <c r="P943">
        <v>1</v>
      </c>
      <c r="Q943">
        <v>3</v>
      </c>
      <c r="R943" t="s">
        <v>726</v>
      </c>
      <c r="S943" t="s">
        <v>2045</v>
      </c>
      <c r="T943">
        <f>I943*-0.5+M943*0.5</f>
        <v>1.0000000000000009E-3</v>
      </c>
      <c r="U943">
        <f>I943*0.7+M943*-0.25+D943*-0.25</f>
        <v>0.29342499999999999</v>
      </c>
      <c r="V943">
        <f>J943*0.5+I943*-0.5</f>
        <v>-0.338785</v>
      </c>
      <c r="W943">
        <f>M943*0.5+G943*0.25+I943*0.25</f>
        <v>0.70599999999999996</v>
      </c>
    </row>
    <row r="944" spans="1:23" x14ac:dyDescent="0.2">
      <c r="A944">
        <v>2.8899999999999999E-2</v>
      </c>
      <c r="B944">
        <v>1</v>
      </c>
      <c r="C944">
        <v>4</v>
      </c>
      <c r="D944">
        <v>3.8399999999999997E-2</v>
      </c>
      <c r="E944">
        <v>-4.6719999999999997</v>
      </c>
      <c r="F944">
        <v>205160</v>
      </c>
      <c r="G944">
        <v>0.76600000000000001</v>
      </c>
      <c r="H944">
        <v>214</v>
      </c>
      <c r="I944">
        <v>0.69</v>
      </c>
      <c r="J944">
        <v>8.2500000000000004E-2</v>
      </c>
      <c r="K944" t="s">
        <v>2243</v>
      </c>
      <c r="L944">
        <v>29</v>
      </c>
      <c r="M944">
        <v>0.69199999999999995</v>
      </c>
      <c r="N944">
        <v>102.02800000000001</v>
      </c>
      <c r="O944">
        <v>0</v>
      </c>
      <c r="P944">
        <v>1</v>
      </c>
      <c r="Q944">
        <v>13</v>
      </c>
      <c r="R944" t="s">
        <v>1243</v>
      </c>
      <c r="S944" t="s">
        <v>2244</v>
      </c>
      <c r="T944">
        <f>I944*-0.5+M944*0.5</f>
        <v>1.0000000000000009E-3</v>
      </c>
      <c r="U944">
        <f>I944*0.7+M944*-0.25+D944*-0.25</f>
        <v>0.30039999999999994</v>
      </c>
      <c r="V944">
        <f>J944*0.5+I944*-0.5</f>
        <v>-0.30374999999999996</v>
      </c>
      <c r="W944">
        <f>M944*0.5+G944*0.25+I944*0.25</f>
        <v>0.71</v>
      </c>
    </row>
    <row r="945" spans="1:23" x14ac:dyDescent="0.2">
      <c r="A945">
        <v>4.53E-2</v>
      </c>
      <c r="B945">
        <v>5</v>
      </c>
      <c r="C945">
        <v>4</v>
      </c>
      <c r="D945">
        <v>7.7200000000000005E-2</v>
      </c>
      <c r="E945">
        <v>-5.7850000000000001</v>
      </c>
      <c r="F945">
        <v>239317</v>
      </c>
      <c r="G945">
        <v>0.45300000000000001</v>
      </c>
      <c r="H945">
        <v>201</v>
      </c>
      <c r="I945">
        <v>0.495</v>
      </c>
      <c r="J945">
        <v>0.55400000000000005</v>
      </c>
      <c r="K945" t="s">
        <v>3041</v>
      </c>
      <c r="L945">
        <v>53</v>
      </c>
      <c r="M945">
        <v>0.496</v>
      </c>
      <c r="N945">
        <v>80.994</v>
      </c>
      <c r="O945" s="1">
        <v>2.65E-5</v>
      </c>
      <c r="P945">
        <v>1</v>
      </c>
      <c r="Q945">
        <v>7</v>
      </c>
      <c r="R945" t="s">
        <v>2915</v>
      </c>
      <c r="S945" t="s">
        <v>3042</v>
      </c>
      <c r="T945">
        <f>I945*-0.5+M945*0.5</f>
        <v>5.0000000000000044E-4</v>
      </c>
      <c r="U945">
        <f>I945*0.7+M945*-0.25+D945*-0.25</f>
        <v>0.20319999999999996</v>
      </c>
      <c r="V945">
        <f>J945*0.5+I945*-0.5</f>
        <v>2.9500000000000026E-2</v>
      </c>
      <c r="W945">
        <f>M945*0.5+G945*0.25+I945*0.25</f>
        <v>0.48499999999999999</v>
      </c>
    </row>
    <row r="946" spans="1:23" x14ac:dyDescent="0.2">
      <c r="A946">
        <v>0.38100000000000001</v>
      </c>
      <c r="B946">
        <v>1</v>
      </c>
      <c r="C946">
        <v>4</v>
      </c>
      <c r="D946">
        <v>0.20399999999999999</v>
      </c>
      <c r="E946">
        <v>-5.8319999999999999</v>
      </c>
      <c r="F946">
        <v>241307</v>
      </c>
      <c r="G946">
        <v>0.748</v>
      </c>
      <c r="H946">
        <v>207</v>
      </c>
      <c r="I946">
        <v>0.629</v>
      </c>
      <c r="J946">
        <v>0.214</v>
      </c>
      <c r="K946" t="s">
        <v>2589</v>
      </c>
      <c r="L946">
        <v>23</v>
      </c>
      <c r="M946">
        <v>0.63</v>
      </c>
      <c r="N946">
        <v>90.888999999999996</v>
      </c>
      <c r="O946">
        <v>0</v>
      </c>
      <c r="P946">
        <v>1</v>
      </c>
      <c r="Q946">
        <v>1</v>
      </c>
      <c r="R946" t="s">
        <v>1749</v>
      </c>
      <c r="S946" t="s">
        <v>2590</v>
      </c>
      <c r="T946">
        <f>I946*-0.5+M946*0.5</f>
        <v>5.0000000000000044E-4</v>
      </c>
      <c r="U946">
        <f>I946*0.7+M946*-0.25+D946*-0.25</f>
        <v>0.23179999999999995</v>
      </c>
      <c r="V946">
        <f>J946*0.5+I946*-0.5</f>
        <v>-0.20750000000000002</v>
      </c>
      <c r="W946">
        <f>M946*0.5+G946*0.25+I946*0.25</f>
        <v>0.65925</v>
      </c>
    </row>
    <row r="947" spans="1:23" x14ac:dyDescent="0.2">
      <c r="A947">
        <v>9.6100000000000005E-2</v>
      </c>
      <c r="B947">
        <v>10</v>
      </c>
      <c r="C947">
        <v>4</v>
      </c>
      <c r="D947">
        <v>4.7600000000000003E-2</v>
      </c>
      <c r="E947">
        <v>-6.6050000000000004</v>
      </c>
      <c r="F947">
        <v>206880</v>
      </c>
      <c r="G947">
        <v>0.73299999999999998</v>
      </c>
      <c r="H947">
        <v>205</v>
      </c>
      <c r="I947">
        <v>0.745</v>
      </c>
      <c r="J947">
        <v>1.8700000000000001E-2</v>
      </c>
      <c r="K947" t="s">
        <v>2003</v>
      </c>
      <c r="L947">
        <v>56</v>
      </c>
      <c r="M947">
        <v>0.745</v>
      </c>
      <c r="N947">
        <v>74.986000000000004</v>
      </c>
      <c r="O947">
        <v>0</v>
      </c>
      <c r="P947">
        <v>0</v>
      </c>
      <c r="Q947">
        <v>14</v>
      </c>
      <c r="R947" t="s">
        <v>884</v>
      </c>
      <c r="S947" t="s">
        <v>2004</v>
      </c>
      <c r="T947">
        <f>I947*-0.5+M947*0.5</f>
        <v>0</v>
      </c>
      <c r="U947">
        <f>I947*0.7+M947*-0.25+D947*-0.25</f>
        <v>0.32334999999999992</v>
      </c>
      <c r="V947">
        <f>J947*0.5+I947*-0.5</f>
        <v>-0.36314999999999997</v>
      </c>
      <c r="W947">
        <f>M947*0.5+G947*0.25+I947*0.25</f>
        <v>0.74199999999999999</v>
      </c>
    </row>
    <row r="948" spans="1:23" x14ac:dyDescent="0.2">
      <c r="A948">
        <v>3.1E-2</v>
      </c>
      <c r="B948">
        <v>7</v>
      </c>
      <c r="C948">
        <v>4</v>
      </c>
      <c r="D948">
        <v>0.20399999999999999</v>
      </c>
      <c r="E948">
        <v>-2.8420000000000001</v>
      </c>
      <c r="F948">
        <v>206413</v>
      </c>
      <c r="G948">
        <v>0.70699999999999996</v>
      </c>
      <c r="H948">
        <v>202</v>
      </c>
      <c r="I948">
        <v>0.92400000000000004</v>
      </c>
      <c r="J948">
        <v>9.7199999999999999E-4</v>
      </c>
      <c r="K948" t="s">
        <v>1667</v>
      </c>
      <c r="L948">
        <v>42</v>
      </c>
      <c r="M948">
        <v>0.92400000000000004</v>
      </c>
      <c r="N948">
        <v>127.937</v>
      </c>
      <c r="O948">
        <v>7.0299999999999998E-3</v>
      </c>
      <c r="P948">
        <v>1</v>
      </c>
      <c r="Q948">
        <v>6</v>
      </c>
      <c r="R948" t="s">
        <v>1668</v>
      </c>
      <c r="S948" t="s">
        <v>1669</v>
      </c>
      <c r="T948">
        <f>I948*-0.5+M948*0.5</f>
        <v>0</v>
      </c>
      <c r="U948">
        <f>I948*0.7+M948*-0.25+D948*-0.25</f>
        <v>0.36480000000000007</v>
      </c>
      <c r="V948">
        <f>J948*0.5+I948*-0.5</f>
        <v>-0.46151400000000004</v>
      </c>
      <c r="W948">
        <f>M948*0.5+G948*0.25+I948*0.25</f>
        <v>0.86975000000000002</v>
      </c>
    </row>
    <row r="949" spans="1:23" x14ac:dyDescent="0.2">
      <c r="A949">
        <v>5.0500000000000003E-2</v>
      </c>
      <c r="B949">
        <v>10</v>
      </c>
      <c r="C949">
        <v>4</v>
      </c>
      <c r="D949">
        <v>0.156</v>
      </c>
      <c r="E949">
        <v>-3.6459999999999999</v>
      </c>
      <c r="F949">
        <v>191425</v>
      </c>
      <c r="G949">
        <v>0.60899999999999999</v>
      </c>
      <c r="H949">
        <v>191</v>
      </c>
      <c r="I949">
        <v>0.86599999999999999</v>
      </c>
      <c r="J949">
        <v>0.112</v>
      </c>
      <c r="K949" t="s">
        <v>2092</v>
      </c>
      <c r="L949">
        <v>34</v>
      </c>
      <c r="M949">
        <v>0.86399999999999999</v>
      </c>
      <c r="N949">
        <v>85.238</v>
      </c>
      <c r="O949">
        <v>0</v>
      </c>
      <c r="P949">
        <v>1</v>
      </c>
      <c r="Q949">
        <v>18</v>
      </c>
      <c r="R949" t="s">
        <v>2093</v>
      </c>
      <c r="S949" t="s">
        <v>2094</v>
      </c>
      <c r="T949">
        <f>I949*-0.5+M949*0.5</f>
        <v>-1.0000000000000009E-3</v>
      </c>
      <c r="U949">
        <f>I949*0.7+M949*-0.25+D949*-0.25</f>
        <v>0.35120000000000001</v>
      </c>
      <c r="V949">
        <f>J949*0.5+I949*-0.5</f>
        <v>-0.377</v>
      </c>
      <c r="W949">
        <f>M949*0.5+G949*0.25+I949*0.25</f>
        <v>0.80074999999999996</v>
      </c>
    </row>
    <row r="950" spans="1:23" x14ac:dyDescent="0.2">
      <c r="A950">
        <v>4.3200000000000002E-2</v>
      </c>
      <c r="B950">
        <v>8</v>
      </c>
      <c r="C950">
        <v>4</v>
      </c>
      <c r="D950">
        <v>6.4399999999999999E-2</v>
      </c>
      <c r="E950">
        <v>-5.8609999999999998</v>
      </c>
      <c r="F950">
        <v>214480</v>
      </c>
      <c r="G950">
        <v>0.80300000000000005</v>
      </c>
      <c r="H950">
        <v>213</v>
      </c>
      <c r="I950">
        <v>0.58799999999999997</v>
      </c>
      <c r="J950">
        <v>0.10299999999999999</v>
      </c>
      <c r="K950" t="s">
        <v>2431</v>
      </c>
      <c r="L950">
        <v>59</v>
      </c>
      <c r="M950">
        <v>0.58499999999999996</v>
      </c>
      <c r="N950">
        <v>105.017</v>
      </c>
      <c r="O950" s="1">
        <v>3.9400000000000004E-6</v>
      </c>
      <c r="P950">
        <v>1</v>
      </c>
      <c r="Q950">
        <v>5</v>
      </c>
      <c r="R950" t="s">
        <v>2432</v>
      </c>
      <c r="S950" t="s">
        <v>2433</v>
      </c>
      <c r="T950">
        <f>I950*-0.5+M950*0.5</f>
        <v>-1.5000000000000013E-3</v>
      </c>
      <c r="U950">
        <f>I950*0.7+M950*-0.25+D950*-0.25</f>
        <v>0.24924999999999997</v>
      </c>
      <c r="V950">
        <f>J950*0.5+I950*-0.5</f>
        <v>-0.24249999999999999</v>
      </c>
      <c r="W950">
        <f>M950*0.5+G950*0.25+I950*0.25</f>
        <v>0.64024999999999999</v>
      </c>
    </row>
    <row r="951" spans="1:23" x14ac:dyDescent="0.2">
      <c r="A951">
        <v>3.1099999999999999E-2</v>
      </c>
      <c r="B951">
        <v>11</v>
      </c>
      <c r="C951">
        <v>4</v>
      </c>
      <c r="D951">
        <v>7.7799999999999994E-2</v>
      </c>
      <c r="E951">
        <v>-4.5049999999999999</v>
      </c>
      <c r="F951">
        <v>212107</v>
      </c>
      <c r="G951">
        <v>0.66300000000000003</v>
      </c>
      <c r="H951">
        <v>207</v>
      </c>
      <c r="I951">
        <v>0.69599999999999995</v>
      </c>
      <c r="J951">
        <v>1.49E-2</v>
      </c>
      <c r="K951" t="s">
        <v>2076</v>
      </c>
      <c r="L951">
        <v>32</v>
      </c>
      <c r="M951">
        <v>0.69299999999999995</v>
      </c>
      <c r="N951">
        <v>66.001999999999995</v>
      </c>
      <c r="O951">
        <v>0</v>
      </c>
      <c r="P951">
        <v>0</v>
      </c>
      <c r="Q951">
        <v>3</v>
      </c>
      <c r="R951" t="s">
        <v>2077</v>
      </c>
      <c r="S951" t="s">
        <v>2078</v>
      </c>
      <c r="T951">
        <f>I951*-0.5+M951*0.5</f>
        <v>-1.5000000000000013E-3</v>
      </c>
      <c r="U951">
        <f>I951*0.7+M951*-0.25+D951*-0.25</f>
        <v>0.29449999999999993</v>
      </c>
      <c r="V951">
        <f>J951*0.5+I951*-0.5</f>
        <v>-0.34054999999999996</v>
      </c>
      <c r="W951">
        <f>M951*0.5+G951*0.25+I951*0.25</f>
        <v>0.68625000000000003</v>
      </c>
    </row>
    <row r="952" spans="1:23" x14ac:dyDescent="0.2">
      <c r="A952">
        <v>4.1000000000000002E-2</v>
      </c>
      <c r="B952">
        <v>2</v>
      </c>
      <c r="C952">
        <v>4</v>
      </c>
      <c r="D952">
        <v>0.156</v>
      </c>
      <c r="E952">
        <v>-4.0430000000000001</v>
      </c>
      <c r="F952">
        <v>272360</v>
      </c>
      <c r="G952">
        <v>0.72899999999999998</v>
      </c>
      <c r="H952">
        <v>272</v>
      </c>
      <c r="I952">
        <v>0.91800000000000004</v>
      </c>
      <c r="J952">
        <v>0.13500000000000001</v>
      </c>
      <c r="K952" t="s">
        <v>2090</v>
      </c>
      <c r="L952">
        <v>8</v>
      </c>
      <c r="M952">
        <v>0.91400000000000003</v>
      </c>
      <c r="N952">
        <v>127.907</v>
      </c>
      <c r="O952">
        <v>6.7199999999999996E-4</v>
      </c>
      <c r="P952">
        <v>1</v>
      </c>
      <c r="Q952">
        <v>5</v>
      </c>
      <c r="R952" t="s">
        <v>777</v>
      </c>
      <c r="S952" t="s">
        <v>2091</v>
      </c>
      <c r="T952">
        <f>I952*-0.5+M952*0.5</f>
        <v>-2.0000000000000018E-3</v>
      </c>
      <c r="U952">
        <f>I952*0.7+M952*-0.25+D952*-0.25</f>
        <v>0.37509999999999993</v>
      </c>
      <c r="V952">
        <f>J952*0.5+I952*-0.5</f>
        <v>-0.39150000000000001</v>
      </c>
      <c r="W952">
        <f>M952*0.5+G952*0.25+I952*0.25</f>
        <v>0.86875000000000002</v>
      </c>
    </row>
    <row r="953" spans="1:23" x14ac:dyDescent="0.2">
      <c r="A953">
        <v>8.2799999999999999E-2</v>
      </c>
      <c r="B953">
        <v>1</v>
      </c>
      <c r="C953">
        <v>4</v>
      </c>
      <c r="D953">
        <v>0.11600000000000001</v>
      </c>
      <c r="E953">
        <v>-3.383</v>
      </c>
      <c r="F953">
        <v>298773</v>
      </c>
      <c r="G953">
        <v>0.85099999999999998</v>
      </c>
      <c r="H953">
        <v>282</v>
      </c>
      <c r="I953">
        <v>0.85399999999999998</v>
      </c>
      <c r="J953">
        <v>0.497</v>
      </c>
      <c r="K953" t="s">
        <v>2875</v>
      </c>
      <c r="L953">
        <v>16</v>
      </c>
      <c r="M953">
        <v>0.84899999999999998</v>
      </c>
      <c r="N953">
        <v>120.014</v>
      </c>
      <c r="O953" s="1">
        <v>2.0499999999999999E-6</v>
      </c>
      <c r="P953">
        <v>0</v>
      </c>
      <c r="Q953">
        <v>1</v>
      </c>
      <c r="R953" t="s">
        <v>2876</v>
      </c>
      <c r="S953" t="s">
        <v>2877</v>
      </c>
      <c r="T953">
        <f>I953*-0.5+M953*0.5</f>
        <v>-2.5000000000000022E-3</v>
      </c>
      <c r="U953">
        <f>I953*0.7+M953*-0.25+D953*-0.25</f>
        <v>0.35654999999999998</v>
      </c>
      <c r="V953">
        <f>J953*0.5+I953*-0.5</f>
        <v>-0.17849999999999999</v>
      </c>
      <c r="W953">
        <f>M953*0.5+G953*0.25+I953*0.25</f>
        <v>0.85075000000000001</v>
      </c>
    </row>
    <row r="954" spans="1:23" x14ac:dyDescent="0.2">
      <c r="A954">
        <v>0.115</v>
      </c>
      <c r="B954">
        <v>7</v>
      </c>
      <c r="C954">
        <v>4</v>
      </c>
      <c r="D954">
        <v>0.13400000000000001</v>
      </c>
      <c r="E954">
        <v>-6.7610000000000001</v>
      </c>
      <c r="F954">
        <v>223187</v>
      </c>
      <c r="G954">
        <v>0.59499999999999997</v>
      </c>
      <c r="H954">
        <v>220</v>
      </c>
      <c r="I954">
        <v>0.55400000000000005</v>
      </c>
      <c r="J954">
        <v>3.4399999999999999E-3</v>
      </c>
      <c r="K954" t="s">
        <v>2253</v>
      </c>
      <c r="L954">
        <v>26</v>
      </c>
      <c r="M954">
        <v>0.54800000000000004</v>
      </c>
      <c r="N954">
        <v>188.08199999999999</v>
      </c>
      <c r="O954">
        <v>0</v>
      </c>
      <c r="P954">
        <v>0</v>
      </c>
      <c r="Q954">
        <v>5</v>
      </c>
      <c r="R954" t="s">
        <v>556</v>
      </c>
      <c r="S954" t="s">
        <v>2254</v>
      </c>
      <c r="T954">
        <f>I954*-0.5+M954*0.5</f>
        <v>-3.0000000000000027E-3</v>
      </c>
      <c r="U954">
        <f>I954*0.7+M954*-0.25+D954*-0.25</f>
        <v>0.21730000000000002</v>
      </c>
      <c r="V954">
        <f>J954*0.5+I954*-0.5</f>
        <v>-0.27528000000000002</v>
      </c>
      <c r="W954">
        <f>M954*0.5+G954*0.25+I954*0.25</f>
        <v>0.56125000000000003</v>
      </c>
    </row>
    <row r="955" spans="1:23" x14ac:dyDescent="0.2">
      <c r="A955">
        <v>3.4799999999999998E-2</v>
      </c>
      <c r="B955">
        <v>8</v>
      </c>
      <c r="C955">
        <v>4</v>
      </c>
      <c r="D955">
        <v>0.29199999999999998</v>
      </c>
      <c r="E955">
        <v>-6.0579999999999998</v>
      </c>
      <c r="F955">
        <v>226000</v>
      </c>
      <c r="G955">
        <v>0.79</v>
      </c>
      <c r="H955">
        <v>223</v>
      </c>
      <c r="I955">
        <v>0.59299999999999997</v>
      </c>
      <c r="J955">
        <v>0.185</v>
      </c>
      <c r="K955" t="s">
        <v>2601</v>
      </c>
      <c r="L955">
        <v>55</v>
      </c>
      <c r="M955">
        <v>0.58499999999999996</v>
      </c>
      <c r="N955">
        <v>94.072000000000003</v>
      </c>
      <c r="O955">
        <v>0</v>
      </c>
      <c r="P955">
        <v>1</v>
      </c>
      <c r="Q955">
        <v>19</v>
      </c>
      <c r="R955" t="s">
        <v>2602</v>
      </c>
      <c r="S955" t="s">
        <v>2603</v>
      </c>
      <c r="T955">
        <f>I955*-0.5+M955*0.5</f>
        <v>-4.0000000000000036E-3</v>
      </c>
      <c r="U955">
        <f>I955*0.7+M955*-0.25+D955*-0.25</f>
        <v>0.19584999999999997</v>
      </c>
      <c r="V955">
        <f>J955*0.5+I955*-0.5</f>
        <v>-0.20399999999999999</v>
      </c>
      <c r="W955">
        <f>M955*0.5+G955*0.25+I955*0.25</f>
        <v>0.63824999999999998</v>
      </c>
    </row>
    <row r="956" spans="1:23" x14ac:dyDescent="0.2">
      <c r="A956">
        <v>0.17799999999999999</v>
      </c>
      <c r="B956">
        <v>4</v>
      </c>
      <c r="C956">
        <v>4</v>
      </c>
      <c r="D956">
        <v>9.0200000000000002E-2</v>
      </c>
      <c r="E956">
        <v>-8.3369999999999997</v>
      </c>
      <c r="F956">
        <v>251989</v>
      </c>
      <c r="G956">
        <v>0.87</v>
      </c>
      <c r="H956">
        <v>248</v>
      </c>
      <c r="I956">
        <v>0.47299999999999998</v>
      </c>
      <c r="J956">
        <v>0.20499999999999999</v>
      </c>
      <c r="K956" t="s">
        <v>2763</v>
      </c>
      <c r="L956">
        <v>53</v>
      </c>
      <c r="M956">
        <v>0.46400000000000002</v>
      </c>
      <c r="N956">
        <v>112.974</v>
      </c>
      <c r="O956">
        <v>0</v>
      </c>
      <c r="P956">
        <v>1</v>
      </c>
      <c r="Q956">
        <v>12</v>
      </c>
      <c r="R956" t="s">
        <v>2764</v>
      </c>
      <c r="S956" t="s">
        <v>2765</v>
      </c>
      <c r="T956">
        <f>I956*-0.5+M956*0.5</f>
        <v>-4.4999999999999762E-3</v>
      </c>
      <c r="U956">
        <f>I956*0.7+M956*-0.25+D956*-0.25</f>
        <v>0.19254999999999994</v>
      </c>
      <c r="V956">
        <f>J956*0.5+I956*-0.5</f>
        <v>-0.13400000000000001</v>
      </c>
      <c r="W956">
        <f>M956*0.5+G956*0.25+I956*0.25</f>
        <v>0.56774999999999998</v>
      </c>
    </row>
    <row r="957" spans="1:23" x14ac:dyDescent="0.2">
      <c r="A957">
        <v>0.25900000000000001</v>
      </c>
      <c r="B957">
        <v>8</v>
      </c>
      <c r="C957">
        <v>4</v>
      </c>
      <c r="D957">
        <v>3.9899999999999998E-2</v>
      </c>
      <c r="E957">
        <v>-7.4240000000000004</v>
      </c>
      <c r="F957">
        <v>208107</v>
      </c>
      <c r="G957">
        <v>0.51</v>
      </c>
      <c r="H957">
        <v>206</v>
      </c>
      <c r="I957">
        <v>0.70299999999999996</v>
      </c>
      <c r="J957">
        <v>0.128</v>
      </c>
      <c r="K957" t="s">
        <v>2381</v>
      </c>
      <c r="L957">
        <v>21</v>
      </c>
      <c r="M957">
        <v>0.69299999999999995</v>
      </c>
      <c r="N957">
        <v>96.052000000000007</v>
      </c>
      <c r="O957">
        <v>0</v>
      </c>
      <c r="P957">
        <v>1</v>
      </c>
      <c r="Q957">
        <v>6</v>
      </c>
      <c r="R957" t="s">
        <v>638</v>
      </c>
      <c r="S957" t="s">
        <v>2382</v>
      </c>
      <c r="T957">
        <f>I957*-0.5+M957*0.5</f>
        <v>-5.0000000000000044E-3</v>
      </c>
      <c r="U957">
        <f>I957*0.7+M957*-0.25+D957*-0.25</f>
        <v>0.30887499999999996</v>
      </c>
      <c r="V957">
        <f>J957*0.5+I957*-0.5</f>
        <v>-0.28749999999999998</v>
      </c>
      <c r="W957">
        <f>M957*0.5+G957*0.25+I957*0.25</f>
        <v>0.64974999999999994</v>
      </c>
    </row>
    <row r="958" spans="1:23" x14ac:dyDescent="0.2">
      <c r="A958">
        <v>6.0400000000000002E-2</v>
      </c>
      <c r="B958">
        <v>1</v>
      </c>
      <c r="C958">
        <v>4</v>
      </c>
      <c r="D958">
        <v>0.10100000000000001</v>
      </c>
      <c r="E958">
        <v>-3.7629999999999999</v>
      </c>
      <c r="F958">
        <v>239267</v>
      </c>
      <c r="G958">
        <v>0.72799999999999998</v>
      </c>
      <c r="H958">
        <v>238</v>
      </c>
      <c r="I958">
        <v>0.83599999999999997</v>
      </c>
      <c r="J958">
        <v>7.8299999999999995E-2</v>
      </c>
      <c r="K958" t="s">
        <v>2081</v>
      </c>
      <c r="L958">
        <v>11</v>
      </c>
      <c r="M958">
        <v>0.82599999999999996</v>
      </c>
      <c r="N958">
        <v>94.36</v>
      </c>
      <c r="O958">
        <v>0</v>
      </c>
      <c r="P958">
        <v>0</v>
      </c>
      <c r="Q958">
        <v>3</v>
      </c>
      <c r="R958" t="s">
        <v>2082</v>
      </c>
      <c r="S958" t="s">
        <v>2083</v>
      </c>
      <c r="T958">
        <f>I958*-0.5+M958*0.5</f>
        <v>-5.0000000000000044E-3</v>
      </c>
      <c r="U958">
        <f>I958*0.7+M958*-0.25+D958*-0.25</f>
        <v>0.35344999999999993</v>
      </c>
      <c r="V958">
        <f>J958*0.5+I958*-0.5</f>
        <v>-0.37884999999999996</v>
      </c>
      <c r="W958">
        <f>M958*0.5+G958*0.25+I958*0.25</f>
        <v>0.80399999999999994</v>
      </c>
    </row>
    <row r="959" spans="1:23" x14ac:dyDescent="0.2">
      <c r="A959">
        <v>5.1400000000000001E-2</v>
      </c>
      <c r="B959">
        <v>8</v>
      </c>
      <c r="C959">
        <v>4</v>
      </c>
      <c r="D959">
        <v>6.5600000000000006E-2</v>
      </c>
      <c r="E959">
        <v>-2.9340000000000002</v>
      </c>
      <c r="F959">
        <v>216560</v>
      </c>
      <c r="G959">
        <v>0.624</v>
      </c>
      <c r="H959">
        <v>215</v>
      </c>
      <c r="I959">
        <v>0.88800000000000001</v>
      </c>
      <c r="J959">
        <v>4.57E-4</v>
      </c>
      <c r="K959" t="s">
        <v>1776</v>
      </c>
      <c r="L959">
        <v>55</v>
      </c>
      <c r="M959">
        <v>0.878</v>
      </c>
      <c r="N959">
        <v>119.10599999999999</v>
      </c>
      <c r="O959">
        <v>0</v>
      </c>
      <c r="P959">
        <v>1</v>
      </c>
      <c r="Q959">
        <v>21</v>
      </c>
      <c r="R959" t="s">
        <v>1777</v>
      </c>
      <c r="S959" t="s">
        <v>1778</v>
      </c>
      <c r="T959">
        <f>I959*-0.5+M959*0.5</f>
        <v>-5.0000000000000044E-3</v>
      </c>
      <c r="U959">
        <f>I959*0.7+M959*-0.25+D959*-0.25</f>
        <v>0.38569999999999988</v>
      </c>
      <c r="V959">
        <f>J959*0.5+I959*-0.5</f>
        <v>-0.44377149999999999</v>
      </c>
      <c r="W959">
        <f>M959*0.5+G959*0.25+I959*0.25</f>
        <v>0.81699999999999995</v>
      </c>
    </row>
    <row r="960" spans="1:23" x14ac:dyDescent="0.2">
      <c r="A960">
        <v>5.5599999999999997E-2</v>
      </c>
      <c r="B960">
        <v>0</v>
      </c>
      <c r="C960">
        <v>4</v>
      </c>
      <c r="D960">
        <v>3.3000000000000002E-2</v>
      </c>
      <c r="E960">
        <v>-3.6920000000000002</v>
      </c>
      <c r="F960">
        <v>214387</v>
      </c>
      <c r="G960">
        <v>0.70599999999999996</v>
      </c>
      <c r="H960">
        <v>212</v>
      </c>
      <c r="I960">
        <v>0.89900000000000002</v>
      </c>
      <c r="J960">
        <v>1.25E-3</v>
      </c>
      <c r="K960" t="s">
        <v>1761</v>
      </c>
      <c r="L960">
        <v>25</v>
      </c>
      <c r="M960">
        <v>0.88900000000000001</v>
      </c>
      <c r="N960">
        <v>141.02500000000001</v>
      </c>
      <c r="O960">
        <v>0</v>
      </c>
      <c r="P960">
        <v>1</v>
      </c>
      <c r="Q960">
        <v>4</v>
      </c>
      <c r="R960" t="s">
        <v>243</v>
      </c>
      <c r="S960" t="s">
        <v>1762</v>
      </c>
      <c r="T960">
        <f>I960*-0.5+M960*0.5</f>
        <v>-5.0000000000000044E-3</v>
      </c>
      <c r="U960">
        <f>I960*0.7+M960*-0.25+D960*-0.25</f>
        <v>0.39879999999999999</v>
      </c>
      <c r="V960">
        <f>J960*0.5+I960*-0.5</f>
        <v>-0.44887500000000002</v>
      </c>
      <c r="W960">
        <f>M960*0.5+G960*0.25+I960*0.25</f>
        <v>0.84575</v>
      </c>
    </row>
    <row r="961" spans="1:23" x14ac:dyDescent="0.2">
      <c r="A961">
        <v>0.19900000000000001</v>
      </c>
      <c r="B961">
        <v>0</v>
      </c>
      <c r="C961">
        <v>4</v>
      </c>
      <c r="D961">
        <v>0.122</v>
      </c>
      <c r="E961">
        <v>-9.7159999999999993</v>
      </c>
      <c r="F961">
        <v>299333</v>
      </c>
      <c r="G961">
        <v>0.82799999999999996</v>
      </c>
      <c r="H961">
        <v>247</v>
      </c>
      <c r="I961">
        <v>0.44600000000000001</v>
      </c>
      <c r="J961">
        <v>6.5600000000000006E-2</v>
      </c>
      <c r="K961" t="s">
        <v>2536</v>
      </c>
      <c r="L961">
        <v>28</v>
      </c>
      <c r="M961">
        <v>0.433</v>
      </c>
      <c r="N961">
        <v>148.07300000000001</v>
      </c>
      <c r="O961">
        <v>8.7600000000000004E-4</v>
      </c>
      <c r="P961">
        <v>1</v>
      </c>
      <c r="Q961">
        <v>4</v>
      </c>
      <c r="R961" t="s">
        <v>2537</v>
      </c>
      <c r="S961" t="s">
        <v>2538</v>
      </c>
      <c r="T961">
        <f>I961*-0.5+M961*0.5</f>
        <v>-6.5000000000000058E-3</v>
      </c>
      <c r="U961">
        <f>I961*0.7+M961*-0.25+D961*-0.25</f>
        <v>0.17344999999999997</v>
      </c>
      <c r="V961">
        <f>J961*0.5+I961*-0.5</f>
        <v>-0.19020000000000001</v>
      </c>
      <c r="W961">
        <f>M961*0.5+G961*0.25+I961*0.25</f>
        <v>0.53500000000000003</v>
      </c>
    </row>
    <row r="962" spans="1:23" x14ac:dyDescent="0.2">
      <c r="A962">
        <v>2.7900000000000001E-2</v>
      </c>
      <c r="B962">
        <v>9</v>
      </c>
      <c r="C962">
        <v>3</v>
      </c>
      <c r="D962">
        <v>0.187</v>
      </c>
      <c r="E962">
        <v>-10.817</v>
      </c>
      <c r="F962">
        <v>267027</v>
      </c>
      <c r="G962">
        <v>0.35</v>
      </c>
      <c r="H962">
        <v>177</v>
      </c>
      <c r="I962">
        <v>0.503</v>
      </c>
      <c r="J962">
        <v>4.2999999999999997E-2</v>
      </c>
      <c r="K962" t="s">
        <v>2422</v>
      </c>
      <c r="L962">
        <v>11</v>
      </c>
      <c r="M962">
        <v>0.49</v>
      </c>
      <c r="N962">
        <v>183.571</v>
      </c>
      <c r="O962">
        <v>0</v>
      </c>
      <c r="P962">
        <v>1</v>
      </c>
      <c r="Q962">
        <v>20</v>
      </c>
      <c r="R962" t="s">
        <v>570</v>
      </c>
      <c r="S962" t="s">
        <v>2423</v>
      </c>
      <c r="T962">
        <f>I962*-0.5+M962*0.5</f>
        <v>-6.5000000000000058E-3</v>
      </c>
      <c r="U962">
        <f>I962*0.7+M962*-0.25+D962*-0.25</f>
        <v>0.18284999999999996</v>
      </c>
      <c r="V962">
        <f>J962*0.5+I962*-0.5</f>
        <v>-0.23</v>
      </c>
      <c r="W962">
        <f>M962*0.5+G962*0.25+I962*0.25</f>
        <v>0.45825000000000005</v>
      </c>
    </row>
    <row r="963" spans="1:23" x14ac:dyDescent="0.2">
      <c r="A963">
        <v>4.8599999999999997E-2</v>
      </c>
      <c r="B963">
        <v>7</v>
      </c>
      <c r="C963">
        <v>4</v>
      </c>
      <c r="D963">
        <v>0.11799999999999999</v>
      </c>
      <c r="E963">
        <v>-7.7750000000000004</v>
      </c>
      <c r="F963">
        <v>239933</v>
      </c>
      <c r="G963">
        <v>0.67500000000000004</v>
      </c>
      <c r="H963">
        <v>238</v>
      </c>
      <c r="I963">
        <v>0.56999999999999995</v>
      </c>
      <c r="J963">
        <v>8.6300000000000002E-2</v>
      </c>
      <c r="K963" t="s">
        <v>2468</v>
      </c>
      <c r="L963">
        <v>4</v>
      </c>
      <c r="M963">
        <v>0.55300000000000005</v>
      </c>
      <c r="N963">
        <v>90.02</v>
      </c>
      <c r="O963" s="1">
        <v>7.5800000000000003E-6</v>
      </c>
      <c r="P963">
        <v>1</v>
      </c>
      <c r="Q963">
        <v>15</v>
      </c>
      <c r="R963" t="s">
        <v>844</v>
      </c>
      <c r="S963" t="s">
        <v>2469</v>
      </c>
      <c r="T963">
        <f>I963*-0.5+M963*0.5</f>
        <v>-8.499999999999952E-3</v>
      </c>
      <c r="U963">
        <f>I963*0.7+M963*-0.25+D963*-0.25</f>
        <v>0.23124999999999993</v>
      </c>
      <c r="V963">
        <f>J963*0.5+I963*-0.5</f>
        <v>-0.24184999999999998</v>
      </c>
      <c r="W963">
        <f>M963*0.5+G963*0.25+I963*0.25</f>
        <v>0.58774999999999999</v>
      </c>
    </row>
    <row r="964" spans="1:23" x14ac:dyDescent="0.2">
      <c r="A964">
        <v>0.122</v>
      </c>
      <c r="B964">
        <v>1</v>
      </c>
      <c r="C964">
        <v>4</v>
      </c>
      <c r="D964">
        <v>0.183</v>
      </c>
      <c r="E964">
        <v>-5.5860000000000003</v>
      </c>
      <c r="F964">
        <v>232000</v>
      </c>
      <c r="G964">
        <v>0.66800000000000004</v>
      </c>
      <c r="H964">
        <v>229</v>
      </c>
      <c r="I964">
        <v>0.71399999999999997</v>
      </c>
      <c r="J964">
        <v>0.48799999999999999</v>
      </c>
      <c r="K964" t="s">
        <v>2966</v>
      </c>
      <c r="L964">
        <v>30</v>
      </c>
      <c r="M964">
        <v>0.69699999999999995</v>
      </c>
      <c r="N964">
        <v>171.88399999999999</v>
      </c>
      <c r="O964">
        <v>0</v>
      </c>
      <c r="P964">
        <v>1</v>
      </c>
      <c r="Q964">
        <v>6</v>
      </c>
      <c r="R964" t="s">
        <v>1148</v>
      </c>
      <c r="S964" t="s">
        <v>2967</v>
      </c>
      <c r="T964">
        <f>I964*-0.5+M964*0.5</f>
        <v>-8.5000000000000075E-3</v>
      </c>
      <c r="U964">
        <f>I964*0.7+M964*-0.25+D964*-0.25</f>
        <v>0.27979999999999999</v>
      </c>
      <c r="V964">
        <f>J964*0.5+I964*-0.5</f>
        <v>-0.11299999999999999</v>
      </c>
      <c r="W964">
        <f>M964*0.5+G964*0.25+I964*0.25</f>
        <v>0.69399999999999995</v>
      </c>
    </row>
    <row r="965" spans="1:23" x14ac:dyDescent="0.2">
      <c r="A965">
        <v>3.1399999999999997E-2</v>
      </c>
      <c r="B965">
        <v>10</v>
      </c>
      <c r="C965">
        <v>4</v>
      </c>
      <c r="D965">
        <v>0.109</v>
      </c>
      <c r="E965">
        <v>-5.9749999999999996</v>
      </c>
      <c r="F965">
        <v>227747</v>
      </c>
      <c r="G965">
        <v>0.59499999999999997</v>
      </c>
      <c r="H965">
        <v>226</v>
      </c>
      <c r="I965">
        <v>0.64100000000000001</v>
      </c>
      <c r="J965">
        <v>4.9599999999999998E-2</v>
      </c>
      <c r="K965" t="s">
        <v>2314</v>
      </c>
      <c r="L965">
        <v>41</v>
      </c>
      <c r="M965">
        <v>0.623</v>
      </c>
      <c r="N965">
        <v>149.97399999999999</v>
      </c>
      <c r="O965">
        <v>0</v>
      </c>
      <c r="P965">
        <v>1</v>
      </c>
      <c r="Q965">
        <v>18</v>
      </c>
      <c r="R965" t="s">
        <v>2315</v>
      </c>
      <c r="S965" t="s">
        <v>2316</v>
      </c>
      <c r="T965">
        <f>I965*-0.5+M965*0.5</f>
        <v>-9.000000000000008E-3</v>
      </c>
      <c r="U965">
        <f>I965*0.7+M965*-0.25+D965*-0.25</f>
        <v>0.26569999999999999</v>
      </c>
      <c r="V965">
        <f>J965*0.5+I965*-0.5</f>
        <v>-0.29570000000000002</v>
      </c>
      <c r="W965">
        <f>M965*0.5+G965*0.25+I965*0.25</f>
        <v>0.62050000000000005</v>
      </c>
    </row>
    <row r="966" spans="1:23" x14ac:dyDescent="0.2">
      <c r="A966">
        <v>0.106</v>
      </c>
      <c r="B966">
        <v>2</v>
      </c>
      <c r="C966">
        <v>4</v>
      </c>
      <c r="D966">
        <v>0.45800000000000002</v>
      </c>
      <c r="E966">
        <v>-6.2309999999999999</v>
      </c>
      <c r="F966">
        <v>275960</v>
      </c>
      <c r="G966">
        <v>0.60399999999999998</v>
      </c>
      <c r="H966">
        <v>275</v>
      </c>
      <c r="I966">
        <v>0.68400000000000005</v>
      </c>
      <c r="J966">
        <v>8.5900000000000004E-2</v>
      </c>
      <c r="K966" t="s">
        <v>2335</v>
      </c>
      <c r="L966">
        <v>9</v>
      </c>
      <c r="M966">
        <v>0.66600000000000004</v>
      </c>
      <c r="N966">
        <v>180.279</v>
      </c>
      <c r="O966">
        <v>8.6300000000000005E-4</v>
      </c>
      <c r="P966">
        <v>1</v>
      </c>
      <c r="Q966">
        <v>11</v>
      </c>
      <c r="R966" t="s">
        <v>1606</v>
      </c>
      <c r="S966" t="s">
        <v>2336</v>
      </c>
      <c r="T966">
        <f>I966*-0.5+M966*0.5</f>
        <v>-9.000000000000008E-3</v>
      </c>
      <c r="U966">
        <f>I966*0.7+M966*-0.25+D966*-0.25</f>
        <v>0.19780000000000003</v>
      </c>
      <c r="V966">
        <f>J966*0.5+I966*-0.5</f>
        <v>-0.29905000000000004</v>
      </c>
      <c r="W966">
        <f>M966*0.5+G966*0.25+I966*0.25</f>
        <v>0.65500000000000003</v>
      </c>
    </row>
    <row r="967" spans="1:23" x14ac:dyDescent="0.2">
      <c r="A967">
        <v>2.7E-2</v>
      </c>
      <c r="B967">
        <v>9</v>
      </c>
      <c r="C967">
        <v>4</v>
      </c>
      <c r="D967">
        <v>0.112</v>
      </c>
      <c r="E967">
        <v>-6.9829999999999997</v>
      </c>
      <c r="F967">
        <v>279467</v>
      </c>
      <c r="G967">
        <v>0.69099999999999995</v>
      </c>
      <c r="H967">
        <v>226</v>
      </c>
      <c r="I967">
        <v>0.73099999999999998</v>
      </c>
      <c r="J967">
        <v>3.4200000000000001E-2</v>
      </c>
      <c r="K967" t="s">
        <v>2138</v>
      </c>
      <c r="L967">
        <v>38</v>
      </c>
      <c r="M967">
        <v>0.71299999999999997</v>
      </c>
      <c r="N967">
        <v>96.984999999999999</v>
      </c>
      <c r="O967">
        <v>1.32E-2</v>
      </c>
      <c r="P967">
        <v>1</v>
      </c>
      <c r="Q967">
        <v>19</v>
      </c>
      <c r="R967" t="s">
        <v>2139</v>
      </c>
      <c r="S967" t="s">
        <v>2140</v>
      </c>
      <c r="T967">
        <f>I967*-0.5+M967*0.5</f>
        <v>-9.000000000000008E-3</v>
      </c>
      <c r="U967">
        <f>I967*0.7+M967*-0.25+D967*-0.25</f>
        <v>0.30544999999999989</v>
      </c>
      <c r="V967">
        <f>J967*0.5+I967*-0.5</f>
        <v>-0.34839999999999999</v>
      </c>
      <c r="W967">
        <f>M967*0.5+G967*0.25+I967*0.25</f>
        <v>0.71199999999999997</v>
      </c>
    </row>
    <row r="968" spans="1:23" x14ac:dyDescent="0.2">
      <c r="A968">
        <v>4.2700000000000002E-2</v>
      </c>
      <c r="B968">
        <v>0</v>
      </c>
      <c r="C968">
        <v>4</v>
      </c>
      <c r="D968">
        <v>0.123</v>
      </c>
      <c r="E968">
        <v>-5.367</v>
      </c>
      <c r="F968">
        <v>212893</v>
      </c>
      <c r="G968">
        <v>0.74</v>
      </c>
      <c r="H968">
        <v>212</v>
      </c>
      <c r="I968">
        <v>0.80100000000000005</v>
      </c>
      <c r="J968">
        <v>2.9700000000000001E-2</v>
      </c>
      <c r="K968" t="s">
        <v>2032</v>
      </c>
      <c r="L968">
        <v>19</v>
      </c>
      <c r="M968">
        <v>0.78300000000000003</v>
      </c>
      <c r="N968">
        <v>100.011</v>
      </c>
      <c r="O968">
        <v>3.0800000000000001E-4</v>
      </c>
      <c r="P968">
        <v>1</v>
      </c>
      <c r="Q968">
        <v>9</v>
      </c>
      <c r="R968" t="s">
        <v>1138</v>
      </c>
      <c r="S968" t="s">
        <v>2033</v>
      </c>
      <c r="T968">
        <f>I968*-0.5+M968*0.5</f>
        <v>-9.000000000000008E-3</v>
      </c>
      <c r="U968">
        <f>I968*0.7+M968*-0.25+D968*-0.25</f>
        <v>0.3342</v>
      </c>
      <c r="V968">
        <f>J968*0.5+I968*-0.5</f>
        <v>-0.38565000000000005</v>
      </c>
      <c r="W968">
        <f>M968*0.5+G968*0.25+I968*0.25</f>
        <v>0.77675000000000005</v>
      </c>
    </row>
    <row r="969" spans="1:23" x14ac:dyDescent="0.2">
      <c r="A969">
        <v>0.159</v>
      </c>
      <c r="B969">
        <v>9</v>
      </c>
      <c r="C969">
        <v>4</v>
      </c>
      <c r="D969">
        <v>6.5100000000000005E-2</v>
      </c>
      <c r="E969">
        <v>-6.53</v>
      </c>
      <c r="F969">
        <v>247960</v>
      </c>
      <c r="G969">
        <v>0.629</v>
      </c>
      <c r="H969">
        <v>246</v>
      </c>
      <c r="I969">
        <v>0.84299999999999997</v>
      </c>
      <c r="J969">
        <v>0.155</v>
      </c>
      <c r="K969" t="s">
        <v>2320</v>
      </c>
      <c r="L969">
        <v>49</v>
      </c>
      <c r="M969">
        <v>0.82399999999999995</v>
      </c>
      <c r="N969">
        <v>128.01</v>
      </c>
      <c r="O969">
        <v>6.2799999999999998E-4</v>
      </c>
      <c r="P969">
        <v>1</v>
      </c>
      <c r="Q969">
        <v>11</v>
      </c>
      <c r="R969" t="s">
        <v>623</v>
      </c>
      <c r="S969" t="s">
        <v>2321</v>
      </c>
      <c r="T969">
        <f>I969*-0.5+M969*0.5</f>
        <v>-9.5000000000000084E-3</v>
      </c>
      <c r="U969">
        <f>I969*0.7+M969*-0.25+D969*-0.25</f>
        <v>0.36782500000000001</v>
      </c>
      <c r="V969">
        <f>J969*0.5+I969*-0.5</f>
        <v>-0.34399999999999997</v>
      </c>
      <c r="W969">
        <f>M969*0.5+G969*0.25+I969*0.25</f>
        <v>0.78</v>
      </c>
    </row>
    <row r="970" spans="1:23" x14ac:dyDescent="0.2">
      <c r="A970">
        <v>0.30099999999999999</v>
      </c>
      <c r="B970">
        <v>1</v>
      </c>
      <c r="C970">
        <v>4</v>
      </c>
      <c r="D970">
        <v>5.1799999999999999E-2</v>
      </c>
      <c r="E970">
        <v>-4.8570000000000002</v>
      </c>
      <c r="F970">
        <v>280053</v>
      </c>
      <c r="G970">
        <v>0.69099999999999995</v>
      </c>
      <c r="H970">
        <v>229</v>
      </c>
      <c r="I970">
        <v>0.877</v>
      </c>
      <c r="J970">
        <v>1.8599999999999998E-2</v>
      </c>
      <c r="K970" t="s">
        <v>1905</v>
      </c>
      <c r="L970">
        <v>13</v>
      </c>
      <c r="M970">
        <v>0.85799999999999998</v>
      </c>
      <c r="N970">
        <v>92.772999999999996</v>
      </c>
      <c r="O970">
        <v>0</v>
      </c>
      <c r="P970">
        <v>1</v>
      </c>
      <c r="Q970">
        <v>4</v>
      </c>
      <c r="R970" t="s">
        <v>1906</v>
      </c>
      <c r="S970" t="s">
        <v>1907</v>
      </c>
      <c r="T970">
        <f>I970*-0.5+M970*0.5</f>
        <v>-9.5000000000000084E-3</v>
      </c>
      <c r="U970">
        <f>I970*0.7+M970*-0.25+D970*-0.25</f>
        <v>0.38644999999999996</v>
      </c>
      <c r="V970">
        <f>J970*0.5+I970*-0.5</f>
        <v>-0.42920000000000003</v>
      </c>
      <c r="W970">
        <f>M970*0.5+G970*0.25+I970*0.25</f>
        <v>0.82099999999999995</v>
      </c>
    </row>
    <row r="971" spans="1:23" x14ac:dyDescent="0.2">
      <c r="A971">
        <v>0.36099999999999999</v>
      </c>
      <c r="B971">
        <v>9</v>
      </c>
      <c r="C971">
        <v>5</v>
      </c>
      <c r="D971">
        <v>0.11799999999999999</v>
      </c>
      <c r="E971">
        <v>-8.391</v>
      </c>
      <c r="F971">
        <v>220053</v>
      </c>
      <c r="G971">
        <v>0.45800000000000002</v>
      </c>
      <c r="H971">
        <v>214</v>
      </c>
      <c r="I971">
        <v>0.46600000000000003</v>
      </c>
      <c r="J971">
        <v>0.64</v>
      </c>
      <c r="K971" t="s">
        <v>3084</v>
      </c>
      <c r="L971">
        <v>27</v>
      </c>
      <c r="M971">
        <v>0.44500000000000001</v>
      </c>
      <c r="N971">
        <v>82.82</v>
      </c>
      <c r="O971">
        <v>0</v>
      </c>
      <c r="P971">
        <v>0</v>
      </c>
      <c r="Q971">
        <v>11</v>
      </c>
      <c r="R971" t="s">
        <v>2758</v>
      </c>
      <c r="S971" t="s">
        <v>3085</v>
      </c>
      <c r="T971">
        <f>I971*-0.5+M971*0.5</f>
        <v>-1.0500000000000009E-2</v>
      </c>
      <c r="U971">
        <f>I971*0.7+M971*-0.25+D971*-0.25</f>
        <v>0.18544999999999998</v>
      </c>
      <c r="V971">
        <f>J971*0.5+I971*-0.5</f>
        <v>8.6999999999999994E-2</v>
      </c>
      <c r="W971">
        <f>M971*0.5+G971*0.25+I971*0.25</f>
        <v>0.45350000000000001</v>
      </c>
    </row>
    <row r="972" spans="1:23" x14ac:dyDescent="0.2">
      <c r="A972">
        <v>0.215</v>
      </c>
      <c r="B972">
        <v>1</v>
      </c>
      <c r="C972">
        <v>4</v>
      </c>
      <c r="D972">
        <v>0.10299999999999999</v>
      </c>
      <c r="E972">
        <v>-4.149</v>
      </c>
      <c r="F972">
        <v>266067</v>
      </c>
      <c r="G972">
        <v>0.88100000000000001</v>
      </c>
      <c r="H972">
        <v>268</v>
      </c>
      <c r="I972">
        <v>0.64500000000000002</v>
      </c>
      <c r="J972">
        <v>0.187</v>
      </c>
      <c r="K972" t="s">
        <v>2591</v>
      </c>
      <c r="L972">
        <v>18</v>
      </c>
      <c r="M972">
        <v>0.622</v>
      </c>
      <c r="N972">
        <v>91.989000000000004</v>
      </c>
      <c r="O972">
        <v>0</v>
      </c>
      <c r="P972">
        <v>1</v>
      </c>
      <c r="Q972">
        <v>4</v>
      </c>
      <c r="R972" t="s">
        <v>2592</v>
      </c>
      <c r="S972" t="s">
        <v>2593</v>
      </c>
      <c r="T972">
        <f>I972*-0.5+M972*0.5</f>
        <v>-1.150000000000001E-2</v>
      </c>
      <c r="U972">
        <f>I972*0.7+M972*-0.25+D972*-0.25</f>
        <v>0.27024999999999993</v>
      </c>
      <c r="V972">
        <f>J972*0.5+I972*-0.5</f>
        <v>-0.22900000000000001</v>
      </c>
      <c r="W972">
        <f>M972*0.5+G972*0.25+I972*0.25</f>
        <v>0.6925</v>
      </c>
    </row>
    <row r="973" spans="1:23" x14ac:dyDescent="0.2">
      <c r="A973">
        <v>3.6200000000000003E-2</v>
      </c>
      <c r="B973">
        <v>2</v>
      </c>
      <c r="C973">
        <v>4</v>
      </c>
      <c r="D973">
        <v>0.109</v>
      </c>
      <c r="E973">
        <v>-4.6139999999999999</v>
      </c>
      <c r="F973">
        <v>237987</v>
      </c>
      <c r="G973">
        <v>0.65600000000000003</v>
      </c>
      <c r="H973">
        <v>237</v>
      </c>
      <c r="I973">
        <v>0.90200000000000002</v>
      </c>
      <c r="J973">
        <v>1.78E-2</v>
      </c>
      <c r="K973" t="s">
        <v>1877</v>
      </c>
      <c r="L973">
        <v>45</v>
      </c>
      <c r="M973">
        <v>0.879</v>
      </c>
      <c r="N973">
        <v>104.997</v>
      </c>
      <c r="O973">
        <v>0</v>
      </c>
      <c r="P973">
        <v>1</v>
      </c>
      <c r="Q973">
        <v>15</v>
      </c>
      <c r="R973" t="s">
        <v>278</v>
      </c>
      <c r="S973" t="s">
        <v>1878</v>
      </c>
      <c r="T973">
        <f>I973*-0.5+M973*0.5</f>
        <v>-1.150000000000001E-2</v>
      </c>
      <c r="U973">
        <f>I973*0.7+M973*-0.25+D973*-0.25</f>
        <v>0.38439999999999996</v>
      </c>
      <c r="V973">
        <f>J973*0.5+I973*-0.5</f>
        <v>-0.44209999999999999</v>
      </c>
      <c r="W973">
        <f>M973*0.5+G973*0.25+I973*0.25</f>
        <v>0.82900000000000007</v>
      </c>
    </row>
    <row r="974" spans="1:23" x14ac:dyDescent="0.2">
      <c r="A974">
        <v>3.4099999999999998E-2</v>
      </c>
      <c r="B974">
        <v>0</v>
      </c>
      <c r="C974">
        <v>4</v>
      </c>
      <c r="D974">
        <v>0.32</v>
      </c>
      <c r="E974">
        <v>-4.2880000000000003</v>
      </c>
      <c r="F974">
        <v>198067</v>
      </c>
      <c r="G974">
        <v>0.748</v>
      </c>
      <c r="H974">
        <v>198</v>
      </c>
      <c r="I974">
        <v>0.96199999999999997</v>
      </c>
      <c r="J974">
        <v>5.3400000000000003E-2</v>
      </c>
      <c r="K974" t="s">
        <v>1898</v>
      </c>
      <c r="L974">
        <v>4</v>
      </c>
      <c r="M974">
        <v>0.93899999999999995</v>
      </c>
      <c r="N974">
        <v>104.001</v>
      </c>
      <c r="O974">
        <v>0</v>
      </c>
      <c r="P974">
        <v>0</v>
      </c>
      <c r="Q974">
        <v>2</v>
      </c>
      <c r="R974" t="s">
        <v>623</v>
      </c>
      <c r="S974" t="s">
        <v>1899</v>
      </c>
      <c r="T974">
        <f>I974*-0.5+M974*0.5</f>
        <v>-1.150000000000001E-2</v>
      </c>
      <c r="U974">
        <f>I974*0.7+M974*-0.25+D974*-0.25</f>
        <v>0.35864999999999986</v>
      </c>
      <c r="V974">
        <f>J974*0.5+I974*-0.5</f>
        <v>-0.45429999999999998</v>
      </c>
      <c r="W974">
        <f>M974*0.5+G974*0.25+I974*0.25</f>
        <v>0.89700000000000002</v>
      </c>
    </row>
    <row r="975" spans="1:23" x14ac:dyDescent="0.2">
      <c r="A975">
        <v>0.19600000000000001</v>
      </c>
      <c r="B975">
        <v>9</v>
      </c>
      <c r="C975">
        <v>4</v>
      </c>
      <c r="D975">
        <v>0.26800000000000002</v>
      </c>
      <c r="E975">
        <v>-6.2290000000000001</v>
      </c>
      <c r="F975">
        <v>260240</v>
      </c>
      <c r="G975">
        <v>0.96499999999999997</v>
      </c>
      <c r="H975">
        <v>199</v>
      </c>
      <c r="I975">
        <v>0.63300000000000001</v>
      </c>
      <c r="J975">
        <v>7.2300000000000003E-2</v>
      </c>
      <c r="K975" t="s">
        <v>2385</v>
      </c>
      <c r="L975">
        <v>52</v>
      </c>
      <c r="M975">
        <v>0.60899999999999999</v>
      </c>
      <c r="N975">
        <v>129.99199999999999</v>
      </c>
      <c r="O975" s="1">
        <v>8.1100000000000003E-6</v>
      </c>
      <c r="P975">
        <v>1</v>
      </c>
      <c r="Q975">
        <v>4</v>
      </c>
      <c r="R975" t="s">
        <v>894</v>
      </c>
      <c r="S975" t="s">
        <v>2386</v>
      </c>
      <c r="T975">
        <f>I975*-0.5+M975*0.5</f>
        <v>-1.2000000000000011E-2</v>
      </c>
      <c r="U975">
        <f>I975*0.7+M975*-0.25+D975*-0.25</f>
        <v>0.22384999999999999</v>
      </c>
      <c r="V975">
        <f>J975*0.5+I975*-0.5</f>
        <v>-0.28034999999999999</v>
      </c>
      <c r="W975">
        <f>M975*0.5+G975*0.25+I975*0.25</f>
        <v>0.70399999999999996</v>
      </c>
    </row>
    <row r="976" spans="1:23" x14ac:dyDescent="0.2">
      <c r="A976">
        <v>4.4900000000000002E-2</v>
      </c>
      <c r="B976">
        <v>8</v>
      </c>
      <c r="C976">
        <v>4</v>
      </c>
      <c r="D976">
        <v>6.1400000000000003E-2</v>
      </c>
      <c r="E976">
        <v>-5.2210000000000001</v>
      </c>
      <c r="F976">
        <v>236373</v>
      </c>
      <c r="G976">
        <v>0.59099999999999997</v>
      </c>
      <c r="H976">
        <v>235</v>
      </c>
      <c r="I976">
        <v>0.72499999999999998</v>
      </c>
      <c r="J976">
        <v>2.0400000000000001E-2</v>
      </c>
      <c r="K976" t="s">
        <v>2148</v>
      </c>
      <c r="L976">
        <v>22</v>
      </c>
      <c r="M976">
        <v>0.69899999999999995</v>
      </c>
      <c r="N976">
        <v>116.029</v>
      </c>
      <c r="O976">
        <v>0</v>
      </c>
      <c r="P976">
        <v>1</v>
      </c>
      <c r="Q976">
        <v>12</v>
      </c>
      <c r="R976" t="s">
        <v>525</v>
      </c>
      <c r="S976" t="s">
        <v>2149</v>
      </c>
      <c r="T976">
        <f>I976*-0.5+M976*0.5</f>
        <v>-1.3000000000000012E-2</v>
      </c>
      <c r="U976">
        <f>I976*0.7+M976*-0.25+D976*-0.25</f>
        <v>0.31740000000000002</v>
      </c>
      <c r="V976">
        <f>J976*0.5+I976*-0.5</f>
        <v>-0.3523</v>
      </c>
      <c r="W976">
        <f>M976*0.5+G976*0.25+I976*0.25</f>
        <v>0.67849999999999999</v>
      </c>
    </row>
    <row r="977" spans="1:23" x14ac:dyDescent="0.2">
      <c r="A977">
        <v>4.6899999999999997E-2</v>
      </c>
      <c r="B977">
        <v>6</v>
      </c>
      <c r="C977">
        <v>4</v>
      </c>
      <c r="D977">
        <v>0.78300000000000003</v>
      </c>
      <c r="E977">
        <v>-4.6630000000000003</v>
      </c>
      <c r="F977">
        <v>228107</v>
      </c>
      <c r="G977">
        <v>0.69199999999999995</v>
      </c>
      <c r="H977">
        <v>225</v>
      </c>
      <c r="I977">
        <v>0.88300000000000001</v>
      </c>
      <c r="J977">
        <v>4.0500000000000001E-2</v>
      </c>
      <c r="K977" t="s">
        <v>1978</v>
      </c>
      <c r="L977">
        <v>44</v>
      </c>
      <c r="M977">
        <v>0.85499999999999998</v>
      </c>
      <c r="N977">
        <v>126.006</v>
      </c>
      <c r="O977">
        <v>0</v>
      </c>
      <c r="P977">
        <v>1</v>
      </c>
      <c r="Q977">
        <v>19</v>
      </c>
      <c r="R977" t="s">
        <v>1979</v>
      </c>
      <c r="S977" t="s">
        <v>1980</v>
      </c>
      <c r="T977">
        <f>I977*-0.5+M977*0.5</f>
        <v>-1.4000000000000012E-2</v>
      </c>
      <c r="U977">
        <f>I977*0.7+M977*-0.25+D977*-0.25</f>
        <v>0.20859999999999998</v>
      </c>
      <c r="V977">
        <f>J977*0.5+I977*-0.5</f>
        <v>-0.42125000000000001</v>
      </c>
      <c r="W977">
        <f>M977*0.5+G977*0.25+I977*0.25</f>
        <v>0.82125000000000004</v>
      </c>
    </row>
    <row r="978" spans="1:23" x14ac:dyDescent="0.2">
      <c r="A978">
        <v>2.9499999999999998E-2</v>
      </c>
      <c r="B978">
        <v>10</v>
      </c>
      <c r="C978">
        <v>4</v>
      </c>
      <c r="D978">
        <v>6.9599999999999995E-2</v>
      </c>
      <c r="E978">
        <v>-7.0220000000000002</v>
      </c>
      <c r="F978">
        <v>274093</v>
      </c>
      <c r="G978">
        <v>0.72099999999999997</v>
      </c>
      <c r="H978">
        <v>275</v>
      </c>
      <c r="I978">
        <v>0.53600000000000003</v>
      </c>
      <c r="J978">
        <v>0.17299999999999999</v>
      </c>
      <c r="K978" t="s">
        <v>2701</v>
      </c>
      <c r="L978">
        <v>3</v>
      </c>
      <c r="M978">
        <v>0.50700000000000001</v>
      </c>
      <c r="N978">
        <v>87.986000000000004</v>
      </c>
      <c r="O978">
        <v>0</v>
      </c>
      <c r="P978">
        <v>1</v>
      </c>
      <c r="Q978">
        <v>17</v>
      </c>
      <c r="R978" t="s">
        <v>1621</v>
      </c>
      <c r="S978" t="s">
        <v>2702</v>
      </c>
      <c r="T978">
        <f>I978*-0.5+M978*0.5</f>
        <v>-1.4500000000000013E-2</v>
      </c>
      <c r="U978">
        <f>I978*0.7+M978*-0.25+D978*-0.25</f>
        <v>0.23104999999999998</v>
      </c>
      <c r="V978">
        <f>J978*0.5+I978*-0.5</f>
        <v>-0.18150000000000002</v>
      </c>
      <c r="W978">
        <f>M978*0.5+G978*0.25+I978*0.25</f>
        <v>0.56774999999999998</v>
      </c>
    </row>
    <row r="979" spans="1:23" x14ac:dyDescent="0.2">
      <c r="A979">
        <v>4.99E-2</v>
      </c>
      <c r="B979">
        <v>7</v>
      </c>
      <c r="C979">
        <v>4</v>
      </c>
      <c r="D979">
        <v>0.128</v>
      </c>
      <c r="E979">
        <v>-4.7919999999999998</v>
      </c>
      <c r="F979">
        <v>192191</v>
      </c>
      <c r="G979">
        <v>0.68799999999999994</v>
      </c>
      <c r="H979">
        <v>191</v>
      </c>
      <c r="I979">
        <v>0.73099999999999998</v>
      </c>
      <c r="J979">
        <v>2.1499999999999998E-2</v>
      </c>
      <c r="K979" t="s">
        <v>2158</v>
      </c>
      <c r="L979">
        <v>57</v>
      </c>
      <c r="M979">
        <v>0.70199999999999996</v>
      </c>
      <c r="N979">
        <v>94.006</v>
      </c>
      <c r="O979">
        <v>0</v>
      </c>
      <c r="P979">
        <v>0</v>
      </c>
      <c r="Q979">
        <v>6</v>
      </c>
      <c r="R979" t="s">
        <v>916</v>
      </c>
      <c r="S979" t="s">
        <v>2159</v>
      </c>
      <c r="T979">
        <f>I979*-0.5+M979*0.5</f>
        <v>-1.4500000000000013E-2</v>
      </c>
      <c r="U979">
        <f>I979*0.7+M979*-0.25+D979*-0.25</f>
        <v>0.30419999999999991</v>
      </c>
      <c r="V979">
        <f>J979*0.5+I979*-0.5</f>
        <v>-0.35475000000000001</v>
      </c>
      <c r="W979">
        <f>M979*0.5+G979*0.25+I979*0.25</f>
        <v>0.70574999999999988</v>
      </c>
    </row>
    <row r="980" spans="1:23" x14ac:dyDescent="0.2">
      <c r="A980">
        <v>4.65E-2</v>
      </c>
      <c r="B980">
        <v>2</v>
      </c>
      <c r="C980">
        <v>4</v>
      </c>
      <c r="D980">
        <v>0.26600000000000001</v>
      </c>
      <c r="E980">
        <v>-5.6879999999999997</v>
      </c>
      <c r="F980">
        <v>197800</v>
      </c>
      <c r="G980">
        <v>0.58199999999999996</v>
      </c>
      <c r="H980">
        <v>196</v>
      </c>
      <c r="I980">
        <v>0.85799999999999998</v>
      </c>
      <c r="J980">
        <v>5.1699999999999999E-4</v>
      </c>
      <c r="K980" t="s">
        <v>1917</v>
      </c>
      <c r="L980">
        <v>13</v>
      </c>
      <c r="M980">
        <v>0.82899999999999996</v>
      </c>
      <c r="N980">
        <v>130.96899999999999</v>
      </c>
      <c r="O980">
        <v>0</v>
      </c>
      <c r="P980">
        <v>1</v>
      </c>
      <c r="Q980">
        <v>14</v>
      </c>
      <c r="R980" t="s">
        <v>1659</v>
      </c>
      <c r="S980" t="s">
        <v>1918</v>
      </c>
      <c r="T980">
        <f>I980*-0.5+M980*0.5</f>
        <v>-1.4500000000000013E-2</v>
      </c>
      <c r="U980">
        <f>I980*0.7+M980*-0.25+D980*-0.25</f>
        <v>0.32684999999999992</v>
      </c>
      <c r="V980">
        <f>J980*0.5+I980*-0.5</f>
        <v>-0.4287415</v>
      </c>
      <c r="W980">
        <f>M980*0.5+G980*0.25+I980*0.25</f>
        <v>0.77449999999999997</v>
      </c>
    </row>
    <row r="981" spans="1:23" x14ac:dyDescent="0.2">
      <c r="A981">
        <v>6.0299999999999999E-2</v>
      </c>
      <c r="B981">
        <v>8</v>
      </c>
      <c r="C981">
        <v>4</v>
      </c>
      <c r="D981">
        <v>0.127</v>
      </c>
      <c r="E981">
        <v>-4.6440000000000001</v>
      </c>
      <c r="F981">
        <v>230667</v>
      </c>
      <c r="G981">
        <v>0.56599999999999995</v>
      </c>
      <c r="H981">
        <v>229</v>
      </c>
      <c r="I981">
        <v>0.86099999999999999</v>
      </c>
      <c r="J981">
        <v>5.0499999999999998E-3</v>
      </c>
      <c r="K981" t="s">
        <v>1921</v>
      </c>
      <c r="L981">
        <v>13</v>
      </c>
      <c r="M981">
        <v>0.83199999999999996</v>
      </c>
      <c r="N981">
        <v>175.02799999999999</v>
      </c>
      <c r="O981">
        <v>0</v>
      </c>
      <c r="P981">
        <v>1</v>
      </c>
      <c r="Q981">
        <v>15</v>
      </c>
      <c r="R981" t="s">
        <v>32</v>
      </c>
      <c r="S981" t="s">
        <v>1922</v>
      </c>
      <c r="T981">
        <f>I981*-0.5+M981*0.5</f>
        <v>-1.4500000000000013E-2</v>
      </c>
      <c r="U981">
        <f>I981*0.7+M981*-0.25+D981*-0.25</f>
        <v>0.36294999999999994</v>
      </c>
      <c r="V981">
        <f>J981*0.5+I981*-0.5</f>
        <v>-0.42797499999999999</v>
      </c>
      <c r="W981">
        <f>M981*0.5+G981*0.25+I981*0.25</f>
        <v>0.77275000000000005</v>
      </c>
    </row>
    <row r="982" spans="1:23" x14ac:dyDescent="0.2">
      <c r="A982">
        <v>2.6499999999999999E-2</v>
      </c>
      <c r="B982">
        <v>3</v>
      </c>
      <c r="C982">
        <v>4</v>
      </c>
      <c r="D982">
        <v>0.125</v>
      </c>
      <c r="E982">
        <v>-6.1079999999999997</v>
      </c>
      <c r="F982">
        <v>210960</v>
      </c>
      <c r="G982">
        <v>0.64100000000000001</v>
      </c>
      <c r="H982">
        <v>209</v>
      </c>
      <c r="I982">
        <v>0.51400000000000001</v>
      </c>
      <c r="J982">
        <v>0.61199999999999999</v>
      </c>
      <c r="K982" t="s">
        <v>3071</v>
      </c>
      <c r="L982">
        <v>49</v>
      </c>
      <c r="M982">
        <v>0.48399999999999999</v>
      </c>
      <c r="N982">
        <v>109.911</v>
      </c>
      <c r="O982">
        <v>0</v>
      </c>
      <c r="P982">
        <v>1</v>
      </c>
      <c r="Q982">
        <v>17</v>
      </c>
      <c r="R982" t="s">
        <v>3072</v>
      </c>
      <c r="S982" t="s">
        <v>3073</v>
      </c>
      <c r="T982">
        <f>I982*-0.5+M982*0.5</f>
        <v>-1.5000000000000013E-2</v>
      </c>
      <c r="U982">
        <f>I982*0.7+M982*-0.25+D982*-0.25</f>
        <v>0.20755000000000001</v>
      </c>
      <c r="V982">
        <f>J982*0.5+I982*-0.5</f>
        <v>4.8999999999999988E-2</v>
      </c>
      <c r="W982">
        <f>M982*0.5+G982*0.25+I982*0.25</f>
        <v>0.53075000000000006</v>
      </c>
    </row>
    <row r="983" spans="1:23" x14ac:dyDescent="0.2">
      <c r="A983">
        <v>0.186</v>
      </c>
      <c r="B983">
        <v>3</v>
      </c>
      <c r="C983">
        <v>4</v>
      </c>
      <c r="D983">
        <v>9.9199999999999997E-2</v>
      </c>
      <c r="E983">
        <v>-4.4039999999999999</v>
      </c>
      <c r="F983">
        <v>222920</v>
      </c>
      <c r="G983">
        <v>0.56399999999999995</v>
      </c>
      <c r="H983">
        <v>222</v>
      </c>
      <c r="I983">
        <v>0.78800000000000003</v>
      </c>
      <c r="J983">
        <v>0.11799999999999999</v>
      </c>
      <c r="K983" t="s">
        <v>2331</v>
      </c>
      <c r="L983">
        <v>34</v>
      </c>
      <c r="M983">
        <v>0.75800000000000001</v>
      </c>
      <c r="N983">
        <v>173.898</v>
      </c>
      <c r="O983">
        <v>0</v>
      </c>
      <c r="P983">
        <v>0</v>
      </c>
      <c r="Q983">
        <v>4</v>
      </c>
      <c r="R983" t="s">
        <v>638</v>
      </c>
      <c r="S983" t="s">
        <v>2332</v>
      </c>
      <c r="T983">
        <f>I983*-0.5+M983*0.5</f>
        <v>-1.5000000000000013E-2</v>
      </c>
      <c r="U983">
        <f>I983*0.7+M983*-0.25+D983*-0.25</f>
        <v>0.33729999999999999</v>
      </c>
      <c r="V983">
        <f>J983*0.5+I983*-0.5</f>
        <v>-0.33500000000000002</v>
      </c>
      <c r="W983">
        <f>M983*0.5+G983*0.25+I983*0.25</f>
        <v>0.71700000000000008</v>
      </c>
    </row>
    <row r="984" spans="1:23" x14ac:dyDescent="0.2">
      <c r="A984">
        <v>8.4500000000000006E-2</v>
      </c>
      <c r="B984">
        <v>6</v>
      </c>
      <c r="C984">
        <v>4</v>
      </c>
      <c r="D984">
        <v>0.10299999999999999</v>
      </c>
      <c r="E984">
        <v>-3.2269999999999999</v>
      </c>
      <c r="F984">
        <v>194951</v>
      </c>
      <c r="G984">
        <v>0.59899999999999998</v>
      </c>
      <c r="H984">
        <v>193</v>
      </c>
      <c r="I984">
        <v>0.84799999999999998</v>
      </c>
      <c r="J984">
        <v>0.107</v>
      </c>
      <c r="K984" t="s">
        <v>2221</v>
      </c>
      <c r="L984">
        <v>60</v>
      </c>
      <c r="M984">
        <v>0.81799999999999995</v>
      </c>
      <c r="N984">
        <v>96.031000000000006</v>
      </c>
      <c r="O984">
        <v>0</v>
      </c>
      <c r="P984">
        <v>1</v>
      </c>
      <c r="Q984">
        <v>17</v>
      </c>
      <c r="R984" t="s">
        <v>2222</v>
      </c>
      <c r="S984" t="s">
        <v>2223</v>
      </c>
      <c r="T984">
        <f>I984*-0.5+M984*0.5</f>
        <v>-1.5000000000000013E-2</v>
      </c>
      <c r="U984">
        <f>I984*0.7+M984*-0.25+D984*-0.25</f>
        <v>0.3633499999999999</v>
      </c>
      <c r="V984">
        <f>J984*0.5+I984*-0.5</f>
        <v>-0.3705</v>
      </c>
      <c r="W984">
        <f>M984*0.5+G984*0.25+I984*0.25</f>
        <v>0.77074999999999994</v>
      </c>
    </row>
    <row r="985" spans="1:23" x14ac:dyDescent="0.2">
      <c r="A985">
        <v>9.9599999999999994E-2</v>
      </c>
      <c r="B985">
        <v>1</v>
      </c>
      <c r="C985">
        <v>4</v>
      </c>
      <c r="D985">
        <v>5.6500000000000002E-2</v>
      </c>
      <c r="E985">
        <v>-4.702</v>
      </c>
      <c r="F985">
        <v>247587</v>
      </c>
      <c r="G985">
        <v>0.62</v>
      </c>
      <c r="H985">
        <v>256</v>
      </c>
      <c r="I985">
        <v>0.83</v>
      </c>
      <c r="J985">
        <v>0.32200000000000001</v>
      </c>
      <c r="K985" t="s">
        <v>2703</v>
      </c>
      <c r="L985">
        <v>36</v>
      </c>
      <c r="M985">
        <v>0.79900000000000004</v>
      </c>
      <c r="N985">
        <v>168.024</v>
      </c>
      <c r="O985">
        <v>0</v>
      </c>
      <c r="P985">
        <v>1</v>
      </c>
      <c r="Q985">
        <v>16</v>
      </c>
      <c r="R985" t="s">
        <v>2704</v>
      </c>
      <c r="S985" t="s">
        <v>2705</v>
      </c>
      <c r="T985">
        <f>I985*-0.5+M985*0.5</f>
        <v>-1.5499999999999958E-2</v>
      </c>
      <c r="U985">
        <f>I985*0.7+M985*-0.25+D985*-0.25</f>
        <v>0.36712499999999998</v>
      </c>
      <c r="V985">
        <f>J985*0.5+I985*-0.5</f>
        <v>-0.254</v>
      </c>
      <c r="W985">
        <f>M985*0.5+G985*0.25+I985*0.25</f>
        <v>0.76200000000000001</v>
      </c>
    </row>
    <row r="986" spans="1:23" x14ac:dyDescent="0.2">
      <c r="A986">
        <v>0.13500000000000001</v>
      </c>
      <c r="B986">
        <v>1</v>
      </c>
      <c r="C986">
        <v>4</v>
      </c>
      <c r="D986">
        <v>4.2900000000000001E-2</v>
      </c>
      <c r="E986">
        <v>-4.1210000000000004</v>
      </c>
      <c r="F986">
        <v>204733</v>
      </c>
      <c r="G986">
        <v>0.94399999999999995</v>
      </c>
      <c r="H986">
        <v>205</v>
      </c>
      <c r="I986">
        <v>0.91700000000000004</v>
      </c>
      <c r="J986">
        <v>4.6199999999999998E-2</v>
      </c>
      <c r="K986" t="s">
        <v>1959</v>
      </c>
      <c r="L986">
        <v>5</v>
      </c>
      <c r="M986">
        <v>0.88600000000000001</v>
      </c>
      <c r="N986">
        <v>117.03</v>
      </c>
      <c r="O986">
        <v>0</v>
      </c>
      <c r="P986">
        <v>1</v>
      </c>
      <c r="Q986">
        <v>9</v>
      </c>
      <c r="R986" t="s">
        <v>1960</v>
      </c>
      <c r="S986" t="s">
        <v>1961</v>
      </c>
      <c r="T986">
        <f>I986*-0.5+M986*0.5</f>
        <v>-1.5500000000000014E-2</v>
      </c>
      <c r="U986">
        <f>I986*0.7+M986*-0.25+D986*-0.25</f>
        <v>0.40967500000000001</v>
      </c>
      <c r="V986">
        <f>J986*0.5+I986*-0.5</f>
        <v>-0.43540000000000001</v>
      </c>
      <c r="W986">
        <f>M986*0.5+G986*0.25+I986*0.25</f>
        <v>0.90825</v>
      </c>
    </row>
    <row r="987" spans="1:23" x14ac:dyDescent="0.2">
      <c r="A987">
        <v>4.0800000000000003E-2</v>
      </c>
      <c r="B987">
        <v>2</v>
      </c>
      <c r="C987">
        <v>4</v>
      </c>
      <c r="D987">
        <v>9.2700000000000005E-2</v>
      </c>
      <c r="E987">
        <v>-8.3949999999999996</v>
      </c>
      <c r="F987">
        <v>231293</v>
      </c>
      <c r="G987">
        <v>0.55000000000000004</v>
      </c>
      <c r="H987">
        <v>292</v>
      </c>
      <c r="I987">
        <v>0.57499999999999996</v>
      </c>
      <c r="J987">
        <v>0.379</v>
      </c>
      <c r="K987" t="s">
        <v>2949</v>
      </c>
      <c r="L987">
        <v>20</v>
      </c>
      <c r="M987">
        <v>0.54300000000000004</v>
      </c>
      <c r="N987">
        <v>82.760999999999996</v>
      </c>
      <c r="O987">
        <v>0</v>
      </c>
      <c r="P987">
        <v>1</v>
      </c>
      <c r="Q987">
        <v>20</v>
      </c>
      <c r="R987" t="s">
        <v>802</v>
      </c>
      <c r="S987" t="s">
        <v>2950</v>
      </c>
      <c r="T987">
        <f>I987*-0.5+M987*0.5</f>
        <v>-1.5999999999999959E-2</v>
      </c>
      <c r="U987">
        <f>I987*0.7+M987*-0.25+D987*-0.25</f>
        <v>0.24357499999999993</v>
      </c>
      <c r="V987">
        <f>J987*0.5+I987*-0.5</f>
        <v>-9.7999999999999976E-2</v>
      </c>
      <c r="W987">
        <f>M987*0.5+G987*0.25+I987*0.25</f>
        <v>0.55275000000000007</v>
      </c>
    </row>
    <row r="988" spans="1:23" x14ac:dyDescent="0.2">
      <c r="A988">
        <v>9.1700000000000004E-2</v>
      </c>
      <c r="B988">
        <v>4</v>
      </c>
      <c r="C988">
        <v>4</v>
      </c>
      <c r="D988">
        <v>0.29499999999999998</v>
      </c>
      <c r="E988">
        <v>-4.9850000000000003</v>
      </c>
      <c r="F988">
        <v>206093</v>
      </c>
      <c r="G988">
        <v>0.74399999999999999</v>
      </c>
      <c r="H988">
        <v>205</v>
      </c>
      <c r="I988">
        <v>0.96499999999999997</v>
      </c>
      <c r="J988">
        <v>7.1700000000000002E-3</v>
      </c>
      <c r="K988" t="s">
        <v>1785</v>
      </c>
      <c r="L988">
        <v>45</v>
      </c>
      <c r="M988">
        <v>0.93300000000000005</v>
      </c>
      <c r="N988">
        <v>127.011</v>
      </c>
      <c r="O988">
        <v>0</v>
      </c>
      <c r="P988">
        <v>1</v>
      </c>
      <c r="Q988">
        <v>5</v>
      </c>
      <c r="R988" t="s">
        <v>1786</v>
      </c>
      <c r="S988" t="s">
        <v>1787</v>
      </c>
      <c r="T988">
        <f>I988*-0.5+M988*0.5</f>
        <v>-1.5999999999999959E-2</v>
      </c>
      <c r="U988">
        <f>I988*0.7+M988*-0.25+D988*-0.25</f>
        <v>0.36849999999999999</v>
      </c>
      <c r="V988">
        <f>J988*0.5+I988*-0.5</f>
        <v>-0.47891499999999998</v>
      </c>
      <c r="W988">
        <f>M988*0.5+G988*0.25+I988*0.25</f>
        <v>0.89375000000000004</v>
      </c>
    </row>
    <row r="989" spans="1:23" x14ac:dyDescent="0.2">
      <c r="A989">
        <v>3.6200000000000003E-2</v>
      </c>
      <c r="B989">
        <v>9</v>
      </c>
      <c r="C989">
        <v>4</v>
      </c>
      <c r="D989">
        <v>0.13300000000000001</v>
      </c>
      <c r="E989">
        <v>-7.8440000000000003</v>
      </c>
      <c r="F989">
        <v>215360</v>
      </c>
      <c r="G989">
        <v>0.73899999999999999</v>
      </c>
      <c r="H989">
        <v>213</v>
      </c>
      <c r="I989">
        <v>0.54300000000000004</v>
      </c>
      <c r="J989">
        <v>0.16700000000000001</v>
      </c>
      <c r="K989" t="s">
        <v>2684</v>
      </c>
      <c r="L989">
        <v>24</v>
      </c>
      <c r="M989">
        <v>0.51100000000000001</v>
      </c>
      <c r="N989">
        <v>96.037999999999997</v>
      </c>
      <c r="O989" s="1">
        <v>1.3400000000000001E-6</v>
      </c>
      <c r="P989">
        <v>1</v>
      </c>
      <c r="Q989">
        <v>12</v>
      </c>
      <c r="R989" t="s">
        <v>2685</v>
      </c>
      <c r="S989" t="s">
        <v>2686</v>
      </c>
      <c r="T989">
        <f>I989*-0.5+M989*0.5</f>
        <v>-1.6000000000000014E-2</v>
      </c>
      <c r="U989">
        <f>I989*0.7+M989*-0.25+D989*-0.25</f>
        <v>0.21909999999999996</v>
      </c>
      <c r="V989">
        <f>J989*0.5+I989*-0.5</f>
        <v>-0.188</v>
      </c>
      <c r="W989">
        <f>M989*0.5+G989*0.25+I989*0.25</f>
        <v>0.57600000000000007</v>
      </c>
    </row>
    <row r="990" spans="1:23" x14ac:dyDescent="0.2">
      <c r="A990">
        <v>4.1799999999999997E-2</v>
      </c>
      <c r="B990">
        <v>7</v>
      </c>
      <c r="C990">
        <v>4</v>
      </c>
      <c r="D990">
        <v>6.88E-2</v>
      </c>
      <c r="E990">
        <v>-3.956</v>
      </c>
      <c r="F990">
        <v>220227</v>
      </c>
      <c r="G990">
        <v>0.70599999999999996</v>
      </c>
      <c r="H990">
        <v>219</v>
      </c>
      <c r="I990">
        <v>0.876</v>
      </c>
      <c r="J990" s="1">
        <v>7.9499999999999994E-5</v>
      </c>
      <c r="K990" t="s">
        <v>1915</v>
      </c>
      <c r="L990">
        <v>29</v>
      </c>
      <c r="M990">
        <v>0.84099999999999997</v>
      </c>
      <c r="N990">
        <v>132.03200000000001</v>
      </c>
      <c r="O990">
        <v>0</v>
      </c>
      <c r="P990">
        <v>1</v>
      </c>
      <c r="Q990">
        <v>2</v>
      </c>
      <c r="R990" t="s">
        <v>206</v>
      </c>
      <c r="S990" t="s">
        <v>1916</v>
      </c>
      <c r="T990">
        <f>I990*-0.5+M990*0.5</f>
        <v>-1.7500000000000016E-2</v>
      </c>
      <c r="U990">
        <f>I990*0.7+M990*-0.25+D990*-0.25</f>
        <v>0.38574999999999998</v>
      </c>
      <c r="V990">
        <f>J990*0.5+I990*-0.5</f>
        <v>-0.43796025</v>
      </c>
      <c r="W990">
        <f>M990*0.5+G990*0.25+I990*0.25</f>
        <v>0.81599999999999995</v>
      </c>
    </row>
    <row r="991" spans="1:23" x14ac:dyDescent="0.2">
      <c r="A991">
        <v>2.9700000000000001E-2</v>
      </c>
      <c r="B991">
        <v>11</v>
      </c>
      <c r="C991">
        <v>4</v>
      </c>
      <c r="D991">
        <v>0.152</v>
      </c>
      <c r="E991">
        <v>-5.2880000000000003</v>
      </c>
      <c r="F991">
        <v>208040</v>
      </c>
      <c r="G991">
        <v>0.77800000000000002</v>
      </c>
      <c r="H991">
        <v>206</v>
      </c>
      <c r="I991">
        <v>0.88700000000000001</v>
      </c>
      <c r="J991">
        <v>3.3000000000000002E-2</v>
      </c>
      <c r="K991" t="s">
        <v>1984</v>
      </c>
      <c r="L991">
        <v>10</v>
      </c>
      <c r="M991">
        <v>0.85099999999999998</v>
      </c>
      <c r="N991">
        <v>125.99299999999999</v>
      </c>
      <c r="O991">
        <v>1.06E-3</v>
      </c>
      <c r="P991">
        <v>1</v>
      </c>
      <c r="Q991">
        <v>3</v>
      </c>
      <c r="R991" t="s">
        <v>717</v>
      </c>
      <c r="S991" t="s">
        <v>1985</v>
      </c>
      <c r="T991">
        <f>I991*-0.5+M991*0.5</f>
        <v>-1.8000000000000016E-2</v>
      </c>
      <c r="U991">
        <f>I991*0.7+M991*-0.25+D991*-0.25</f>
        <v>0.37015000000000003</v>
      </c>
      <c r="V991">
        <f>J991*0.5+I991*-0.5</f>
        <v>-0.42699999999999999</v>
      </c>
      <c r="W991">
        <f>M991*0.5+G991*0.25+I991*0.25</f>
        <v>0.84175</v>
      </c>
    </row>
    <row r="992" spans="1:23" x14ac:dyDescent="0.2">
      <c r="A992">
        <v>3.7499999999999999E-2</v>
      </c>
      <c r="B992">
        <v>7</v>
      </c>
      <c r="C992">
        <v>4</v>
      </c>
      <c r="D992">
        <v>0.61199999999999999</v>
      </c>
      <c r="E992">
        <v>-4.7699999999999996</v>
      </c>
      <c r="F992">
        <v>451907</v>
      </c>
      <c r="G992">
        <v>0.63200000000000001</v>
      </c>
      <c r="H992">
        <v>197</v>
      </c>
      <c r="I992">
        <v>0.89900000000000002</v>
      </c>
      <c r="J992">
        <v>2.2699999999999999E-4</v>
      </c>
      <c r="K992" t="s">
        <v>1892</v>
      </c>
      <c r="L992">
        <v>25</v>
      </c>
      <c r="M992">
        <v>0.86299999999999999</v>
      </c>
      <c r="N992">
        <v>125.997</v>
      </c>
      <c r="O992">
        <v>0.45900000000000002</v>
      </c>
      <c r="P992">
        <v>1</v>
      </c>
      <c r="Q992">
        <v>6</v>
      </c>
      <c r="R992" t="s">
        <v>1893</v>
      </c>
      <c r="S992" t="s">
        <v>1894</v>
      </c>
      <c r="T992">
        <f>I992*-0.5+M992*0.5</f>
        <v>-1.8000000000000016E-2</v>
      </c>
      <c r="U992">
        <f>I992*0.7+M992*-0.25+D992*-0.25</f>
        <v>0.26054999999999995</v>
      </c>
      <c r="V992">
        <f>J992*0.5+I992*-0.5</f>
        <v>-0.44938650000000002</v>
      </c>
      <c r="W992">
        <f>M992*0.5+G992*0.25+I992*0.25</f>
        <v>0.81425000000000003</v>
      </c>
    </row>
    <row r="993" spans="1:23" x14ac:dyDescent="0.2">
      <c r="A993">
        <v>3.5299999999999998E-2</v>
      </c>
      <c r="B993">
        <v>9</v>
      </c>
      <c r="C993">
        <v>4</v>
      </c>
      <c r="D993">
        <v>0.23499999999999999</v>
      </c>
      <c r="E993">
        <v>-4.1559999999999997</v>
      </c>
      <c r="F993">
        <v>161293</v>
      </c>
      <c r="G993">
        <v>0.72299999999999998</v>
      </c>
      <c r="H993">
        <v>153</v>
      </c>
      <c r="I993">
        <v>0.96599999999999997</v>
      </c>
      <c r="J993">
        <v>4.5199999999999998E-4</v>
      </c>
      <c r="K993" t="s">
        <v>1791</v>
      </c>
      <c r="L993">
        <v>16</v>
      </c>
      <c r="M993">
        <v>0.92900000000000005</v>
      </c>
      <c r="N993">
        <v>130.03</v>
      </c>
      <c r="O993">
        <v>0.125</v>
      </c>
      <c r="P993">
        <v>0</v>
      </c>
      <c r="Q993">
        <v>15</v>
      </c>
      <c r="R993" t="s">
        <v>1261</v>
      </c>
      <c r="S993" t="s">
        <v>1792</v>
      </c>
      <c r="T993">
        <f>I993*-0.5+M993*0.5</f>
        <v>-1.8499999999999961E-2</v>
      </c>
      <c r="U993">
        <f>I993*0.7+M993*-0.25+D993*-0.25</f>
        <v>0.38519999999999988</v>
      </c>
      <c r="V993">
        <f>J993*0.5+I993*-0.5</f>
        <v>-0.48277399999999998</v>
      </c>
      <c r="W993">
        <f>M993*0.5+G993*0.25+I993*0.25</f>
        <v>0.88674999999999993</v>
      </c>
    </row>
    <row r="994" spans="1:23" x14ac:dyDescent="0.2">
      <c r="A994">
        <v>2.5899999999999999E-2</v>
      </c>
      <c r="B994">
        <v>10</v>
      </c>
      <c r="C994">
        <v>4</v>
      </c>
      <c r="D994">
        <v>9.0999999999999998E-2</v>
      </c>
      <c r="E994">
        <v>-11.43</v>
      </c>
      <c r="F994">
        <v>277000</v>
      </c>
      <c r="G994">
        <v>0.58199999999999996</v>
      </c>
      <c r="H994">
        <v>246</v>
      </c>
      <c r="I994">
        <v>0.28999999999999998</v>
      </c>
      <c r="J994">
        <v>0.82699999999999996</v>
      </c>
      <c r="K994" t="s">
        <v>3136</v>
      </c>
      <c r="L994">
        <v>18</v>
      </c>
      <c r="M994">
        <v>0.253</v>
      </c>
      <c r="N994">
        <v>90.183999999999997</v>
      </c>
      <c r="O994" s="1">
        <v>2.9499999999999999E-5</v>
      </c>
      <c r="P994">
        <v>1</v>
      </c>
      <c r="Q994">
        <v>12</v>
      </c>
      <c r="R994" t="s">
        <v>3137</v>
      </c>
      <c r="S994" t="s">
        <v>3138</v>
      </c>
      <c r="T994">
        <f>I994*-0.5+M994*0.5</f>
        <v>-1.8499999999999989E-2</v>
      </c>
      <c r="U994">
        <f>I994*0.7+M994*-0.25+D994*-0.25</f>
        <v>0.11699999999999999</v>
      </c>
      <c r="V994">
        <f>J994*0.5+I994*-0.5</f>
        <v>0.26849999999999996</v>
      </c>
      <c r="W994">
        <f>M994*0.5+G994*0.25+I994*0.25</f>
        <v>0.34450000000000003</v>
      </c>
    </row>
    <row r="995" spans="1:23" x14ac:dyDescent="0.2">
      <c r="A995">
        <v>0.11899999999999999</v>
      </c>
      <c r="B995">
        <v>4</v>
      </c>
      <c r="C995">
        <v>4</v>
      </c>
      <c r="D995">
        <v>0.16300000000000001</v>
      </c>
      <c r="E995">
        <v>-4.9770000000000003</v>
      </c>
      <c r="F995">
        <v>200467</v>
      </c>
      <c r="G995">
        <v>0.68600000000000005</v>
      </c>
      <c r="H995">
        <v>198</v>
      </c>
      <c r="I995">
        <v>0.82099999999999995</v>
      </c>
      <c r="J995">
        <v>7.6399999999999996E-2</v>
      </c>
      <c r="K995" t="s">
        <v>2210</v>
      </c>
      <c r="L995">
        <v>38</v>
      </c>
      <c r="M995">
        <v>0.78300000000000003</v>
      </c>
      <c r="N995">
        <v>99.977999999999994</v>
      </c>
      <c r="O995">
        <v>0</v>
      </c>
      <c r="P995">
        <v>1</v>
      </c>
      <c r="Q995">
        <v>17</v>
      </c>
      <c r="R995" t="s">
        <v>2211</v>
      </c>
      <c r="S995" t="s">
        <v>2212</v>
      </c>
      <c r="T995">
        <f>I995*-0.5+M995*0.5</f>
        <v>-1.8999999999999961E-2</v>
      </c>
      <c r="U995">
        <f>I995*0.7+M995*-0.25+D995*-0.25</f>
        <v>0.33819999999999989</v>
      </c>
      <c r="V995">
        <f>J995*0.5+I995*-0.5</f>
        <v>-0.37229999999999996</v>
      </c>
      <c r="W995">
        <f>M995*0.5+G995*0.25+I995*0.25</f>
        <v>0.7682500000000001</v>
      </c>
    </row>
    <row r="996" spans="1:23" x14ac:dyDescent="0.2">
      <c r="A996">
        <v>0.11899999999999999</v>
      </c>
      <c r="B996">
        <v>4</v>
      </c>
      <c r="C996">
        <v>4</v>
      </c>
      <c r="D996">
        <v>0.16300000000000001</v>
      </c>
      <c r="E996">
        <v>-4.9770000000000003</v>
      </c>
      <c r="F996">
        <v>200467</v>
      </c>
      <c r="G996">
        <v>0.68600000000000005</v>
      </c>
      <c r="H996">
        <v>198</v>
      </c>
      <c r="I996">
        <v>0.82099999999999995</v>
      </c>
      <c r="J996">
        <v>7.6399999999999996E-2</v>
      </c>
      <c r="K996" t="s">
        <v>2210</v>
      </c>
      <c r="L996">
        <v>39</v>
      </c>
      <c r="M996">
        <v>0.78300000000000003</v>
      </c>
      <c r="N996">
        <v>99.977999999999994</v>
      </c>
      <c r="O996">
        <v>0</v>
      </c>
      <c r="P996">
        <v>1</v>
      </c>
      <c r="Q996">
        <v>13</v>
      </c>
      <c r="R996" t="s">
        <v>2211</v>
      </c>
      <c r="S996" t="s">
        <v>2212</v>
      </c>
      <c r="T996">
        <f>I996*-0.5+M996*0.5</f>
        <v>-1.8999999999999961E-2</v>
      </c>
      <c r="U996">
        <f>I996*0.7+M996*-0.25+D996*-0.25</f>
        <v>0.33819999999999989</v>
      </c>
      <c r="V996">
        <f>J996*0.5+I996*-0.5</f>
        <v>-0.37229999999999996</v>
      </c>
      <c r="W996">
        <f>M996*0.5+G996*0.25+I996*0.25</f>
        <v>0.7682500000000001</v>
      </c>
    </row>
    <row r="997" spans="1:23" x14ac:dyDescent="0.2">
      <c r="A997">
        <v>4.1200000000000001E-2</v>
      </c>
      <c r="B997">
        <v>11</v>
      </c>
      <c r="C997">
        <v>4</v>
      </c>
      <c r="D997">
        <v>0.17499999999999999</v>
      </c>
      <c r="E997">
        <v>-3.8969999999999998</v>
      </c>
      <c r="F997">
        <v>218825</v>
      </c>
      <c r="G997">
        <v>0.752</v>
      </c>
      <c r="H997">
        <v>218</v>
      </c>
      <c r="I997">
        <v>0.76800000000000002</v>
      </c>
      <c r="J997">
        <v>2.7200000000000002E-3</v>
      </c>
      <c r="K997" t="s">
        <v>2084</v>
      </c>
      <c r="L997">
        <v>38</v>
      </c>
      <c r="M997">
        <v>0.73</v>
      </c>
      <c r="N997">
        <v>120.032</v>
      </c>
      <c r="O997" s="1">
        <v>3.6199999999999999E-5</v>
      </c>
      <c r="P997">
        <v>0</v>
      </c>
      <c r="Q997">
        <v>5</v>
      </c>
      <c r="R997" t="s">
        <v>237</v>
      </c>
      <c r="S997" t="s">
        <v>2085</v>
      </c>
      <c r="T997">
        <f>I997*-0.5+M997*0.5</f>
        <v>-1.9000000000000017E-2</v>
      </c>
      <c r="U997">
        <f>I997*0.7+M997*-0.25+D997*-0.25</f>
        <v>0.31134999999999996</v>
      </c>
      <c r="V997">
        <f>J997*0.5+I997*-0.5</f>
        <v>-0.38263999999999998</v>
      </c>
      <c r="W997">
        <f>M997*0.5+G997*0.25+I997*0.25</f>
        <v>0.74499999999999988</v>
      </c>
    </row>
    <row r="998" spans="1:23" x14ac:dyDescent="0.2">
      <c r="A998">
        <v>3.0200000000000001E-2</v>
      </c>
      <c r="B998">
        <v>11</v>
      </c>
      <c r="C998">
        <v>4</v>
      </c>
      <c r="D998">
        <v>0.32500000000000001</v>
      </c>
      <c r="E998">
        <v>-4.431</v>
      </c>
      <c r="F998">
        <v>225867</v>
      </c>
      <c r="G998">
        <v>0.59699999999999998</v>
      </c>
      <c r="H998">
        <v>226</v>
      </c>
      <c r="I998">
        <v>0.8</v>
      </c>
      <c r="J998">
        <v>3.6800000000000001E-3</v>
      </c>
      <c r="K998" t="s">
        <v>2040</v>
      </c>
      <c r="L998">
        <v>15</v>
      </c>
      <c r="M998">
        <v>0.76200000000000001</v>
      </c>
      <c r="N998">
        <v>126.325</v>
      </c>
      <c r="O998">
        <v>1.17E-3</v>
      </c>
      <c r="P998">
        <v>1</v>
      </c>
      <c r="Q998">
        <v>1</v>
      </c>
      <c r="R998" t="s">
        <v>2041</v>
      </c>
      <c r="S998" t="s">
        <v>571</v>
      </c>
      <c r="T998">
        <f>I998*-0.5+M998*0.5</f>
        <v>-1.9000000000000017E-2</v>
      </c>
      <c r="U998">
        <f>I998*0.7+M998*-0.25+D998*-0.25</f>
        <v>0.28824999999999995</v>
      </c>
      <c r="V998">
        <f>J998*0.5+I998*-0.5</f>
        <v>-0.39816000000000001</v>
      </c>
      <c r="W998">
        <f>M998*0.5+G998*0.25+I998*0.25</f>
        <v>0.73025000000000007</v>
      </c>
    </row>
    <row r="999" spans="1:23" x14ac:dyDescent="0.2">
      <c r="A999">
        <v>8.9800000000000005E-2</v>
      </c>
      <c r="B999">
        <v>4</v>
      </c>
      <c r="C999">
        <v>4</v>
      </c>
      <c r="D999">
        <v>2.63E-2</v>
      </c>
      <c r="E999">
        <v>-3.1549999999999998</v>
      </c>
      <c r="F999">
        <v>203867</v>
      </c>
      <c r="G999">
        <v>0.75</v>
      </c>
      <c r="H999">
        <v>216</v>
      </c>
      <c r="I999">
        <v>0.81899999999999995</v>
      </c>
      <c r="J999">
        <v>6.2199999999999998E-3</v>
      </c>
      <c r="K999" t="s">
        <v>2029</v>
      </c>
      <c r="L999">
        <v>36</v>
      </c>
      <c r="M999">
        <v>0.78</v>
      </c>
      <c r="N999">
        <v>119.985</v>
      </c>
      <c r="O999">
        <v>0</v>
      </c>
      <c r="P999">
        <v>1</v>
      </c>
      <c r="Q999">
        <v>5</v>
      </c>
      <c r="R999" t="s">
        <v>2030</v>
      </c>
      <c r="S999" t="s">
        <v>2031</v>
      </c>
      <c r="T999">
        <f>I999*-0.5+M999*0.5</f>
        <v>-1.9499999999999962E-2</v>
      </c>
      <c r="U999">
        <f>I999*0.7+M999*-0.25+D999*-0.25</f>
        <v>0.37172499999999992</v>
      </c>
      <c r="V999">
        <f>J999*0.5+I999*-0.5</f>
        <v>-0.40638999999999997</v>
      </c>
      <c r="W999">
        <f>M999*0.5+G999*0.25+I999*0.25</f>
        <v>0.78225</v>
      </c>
    </row>
    <row r="1000" spans="1:23" x14ac:dyDescent="0.2">
      <c r="A1000">
        <v>3.3700000000000001E-2</v>
      </c>
      <c r="B1000">
        <v>5</v>
      </c>
      <c r="C1000">
        <v>4</v>
      </c>
      <c r="D1000">
        <v>8.1900000000000001E-2</v>
      </c>
      <c r="E1000">
        <v>-3.9380000000000002</v>
      </c>
      <c r="F1000">
        <v>196663</v>
      </c>
      <c r="G1000">
        <v>0.68100000000000005</v>
      </c>
      <c r="H1000">
        <v>196</v>
      </c>
      <c r="I1000">
        <v>0.77800000000000002</v>
      </c>
      <c r="J1000">
        <v>4.99E-2</v>
      </c>
      <c r="K1000" t="s">
        <v>2197</v>
      </c>
      <c r="L1000">
        <v>60</v>
      </c>
      <c r="M1000">
        <v>0.73899999999999999</v>
      </c>
      <c r="N1000">
        <v>130.04599999999999</v>
      </c>
      <c r="O1000">
        <v>0</v>
      </c>
      <c r="P1000">
        <v>0</v>
      </c>
      <c r="Q1000">
        <v>22</v>
      </c>
      <c r="R1000" t="s">
        <v>1960</v>
      </c>
      <c r="S1000" t="s">
        <v>463</v>
      </c>
      <c r="T1000">
        <f>I1000*-0.5+M1000*0.5</f>
        <v>-1.9500000000000017E-2</v>
      </c>
      <c r="U1000">
        <f>I1000*0.7+M1000*-0.25+D1000*-0.25</f>
        <v>0.33937499999999998</v>
      </c>
      <c r="V1000">
        <f>J1000*0.5+I1000*-0.5</f>
        <v>-0.36404999999999998</v>
      </c>
      <c r="W1000">
        <f>M1000*0.5+G1000*0.25+I1000*0.25</f>
        <v>0.73424999999999996</v>
      </c>
    </row>
    <row r="1001" spans="1:23" x14ac:dyDescent="0.2">
      <c r="A1001">
        <v>3.4099999999999998E-2</v>
      </c>
      <c r="B1001">
        <v>6</v>
      </c>
      <c r="C1001">
        <v>4</v>
      </c>
      <c r="D1001">
        <v>0.307</v>
      </c>
      <c r="E1001">
        <v>-5.66</v>
      </c>
      <c r="F1001">
        <v>257093</v>
      </c>
      <c r="G1001">
        <v>0.65300000000000002</v>
      </c>
      <c r="H1001">
        <v>256</v>
      </c>
      <c r="I1001">
        <v>0.91300000000000003</v>
      </c>
      <c r="J1001">
        <v>0.154</v>
      </c>
      <c r="K1001" t="s">
        <v>2302</v>
      </c>
      <c r="L1001">
        <v>1</v>
      </c>
      <c r="M1001">
        <v>0.874</v>
      </c>
      <c r="N1001">
        <v>120.84</v>
      </c>
      <c r="O1001" s="1">
        <v>1.36E-5</v>
      </c>
      <c r="P1001">
        <v>0</v>
      </c>
      <c r="Q1001">
        <v>3</v>
      </c>
      <c r="R1001" t="s">
        <v>2303</v>
      </c>
      <c r="S1001" t="s">
        <v>2304</v>
      </c>
      <c r="T1001">
        <f>I1001*-0.5+M1001*0.5</f>
        <v>-1.9500000000000017E-2</v>
      </c>
      <c r="U1001">
        <f>I1001*0.7+M1001*-0.25+D1001*-0.25</f>
        <v>0.34384999999999999</v>
      </c>
      <c r="V1001">
        <f>J1001*0.5+I1001*-0.5</f>
        <v>-0.3795</v>
      </c>
      <c r="W1001">
        <f>M1001*0.5+G1001*0.25+I1001*0.25</f>
        <v>0.82850000000000001</v>
      </c>
    </row>
    <row r="1002" spans="1:23" x14ac:dyDescent="0.2">
      <c r="A1002">
        <v>0.24</v>
      </c>
      <c r="B1002">
        <v>7</v>
      </c>
      <c r="C1002">
        <v>4</v>
      </c>
      <c r="D1002">
        <v>0.41799999999999998</v>
      </c>
      <c r="E1002">
        <v>-7.0529999999999999</v>
      </c>
      <c r="F1002">
        <v>175560</v>
      </c>
      <c r="G1002">
        <v>0.73199999999999998</v>
      </c>
      <c r="H1002">
        <v>170</v>
      </c>
      <c r="I1002">
        <v>0.83299999999999996</v>
      </c>
      <c r="J1002">
        <v>0.27800000000000002</v>
      </c>
      <c r="K1002" t="s">
        <v>2650</v>
      </c>
      <c r="L1002">
        <v>7</v>
      </c>
      <c r="M1002">
        <v>0.79300000000000004</v>
      </c>
      <c r="N1002">
        <v>95.918000000000006</v>
      </c>
      <c r="O1002">
        <v>0</v>
      </c>
      <c r="P1002">
        <v>1</v>
      </c>
      <c r="Q1002">
        <v>12</v>
      </c>
      <c r="R1002" t="s">
        <v>2651</v>
      </c>
      <c r="S1002" t="s">
        <v>2652</v>
      </c>
      <c r="T1002">
        <f>I1002*-0.5+M1002*0.5</f>
        <v>-1.9999999999999962E-2</v>
      </c>
      <c r="U1002">
        <f>I1002*0.7+M1002*-0.25+D1002*-0.25</f>
        <v>0.28034999999999993</v>
      </c>
      <c r="V1002">
        <f>J1002*0.5+I1002*-0.5</f>
        <v>-0.27749999999999997</v>
      </c>
      <c r="W1002">
        <f>M1002*0.5+G1002*0.25+I1002*0.25</f>
        <v>0.78774999999999995</v>
      </c>
    </row>
    <row r="1003" spans="1:23" x14ac:dyDescent="0.2">
      <c r="A1003">
        <v>7.0999999999999994E-2</v>
      </c>
      <c r="B1003">
        <v>0</v>
      </c>
      <c r="C1003">
        <v>4</v>
      </c>
      <c r="D1003">
        <v>3.7199999999999997E-2</v>
      </c>
      <c r="E1003">
        <v>-4.6719999999999997</v>
      </c>
      <c r="F1003">
        <v>192427</v>
      </c>
      <c r="G1003">
        <v>0.63600000000000001</v>
      </c>
      <c r="H1003">
        <v>191</v>
      </c>
      <c r="I1003">
        <v>0.91300000000000003</v>
      </c>
      <c r="J1003">
        <v>4.07E-2</v>
      </c>
      <c r="K1003" t="s">
        <v>1992</v>
      </c>
      <c r="L1003">
        <v>5</v>
      </c>
      <c r="M1003">
        <v>0.873</v>
      </c>
      <c r="N1003">
        <v>165.071</v>
      </c>
      <c r="O1003" s="1">
        <v>1.2699999999999999E-6</v>
      </c>
      <c r="P1003">
        <v>0</v>
      </c>
      <c r="Q1003">
        <v>1</v>
      </c>
      <c r="R1003" t="s">
        <v>1590</v>
      </c>
      <c r="S1003" t="s">
        <v>1993</v>
      </c>
      <c r="T1003">
        <f>I1003*-0.5+M1003*0.5</f>
        <v>-2.0000000000000018E-2</v>
      </c>
      <c r="U1003">
        <f>I1003*0.7+M1003*-0.25+D1003*-0.25</f>
        <v>0.41155000000000003</v>
      </c>
      <c r="V1003">
        <f>J1003*0.5+I1003*-0.5</f>
        <v>-0.43615000000000004</v>
      </c>
      <c r="W1003">
        <f>M1003*0.5+G1003*0.25+I1003*0.25</f>
        <v>0.82374999999999998</v>
      </c>
    </row>
    <row r="1004" spans="1:23" x14ac:dyDescent="0.2">
      <c r="A1004">
        <v>9.0700000000000003E-2</v>
      </c>
      <c r="B1004">
        <v>0</v>
      </c>
      <c r="C1004">
        <v>4</v>
      </c>
      <c r="D1004">
        <v>2.8199999999999999E-2</v>
      </c>
      <c r="E1004">
        <v>-5.2130000000000001</v>
      </c>
      <c r="F1004">
        <v>253600</v>
      </c>
      <c r="G1004">
        <v>0.748</v>
      </c>
      <c r="H1004">
        <v>284</v>
      </c>
      <c r="I1004">
        <v>0.85199999999999998</v>
      </c>
      <c r="J1004">
        <v>8.6599999999999996E-2</v>
      </c>
      <c r="K1004" t="s">
        <v>2203</v>
      </c>
      <c r="L1004">
        <v>10</v>
      </c>
      <c r="M1004">
        <v>0.81100000000000005</v>
      </c>
      <c r="N1004">
        <v>93.962999999999994</v>
      </c>
      <c r="O1004" s="1">
        <v>1.45E-5</v>
      </c>
      <c r="P1004">
        <v>0</v>
      </c>
      <c r="Q1004">
        <v>5</v>
      </c>
      <c r="R1004" t="s">
        <v>2204</v>
      </c>
      <c r="S1004" t="s">
        <v>2205</v>
      </c>
      <c r="T1004">
        <f>I1004*-0.5+M1004*0.5</f>
        <v>-2.0499999999999963E-2</v>
      </c>
      <c r="U1004">
        <f>I1004*0.7+M1004*-0.25+D1004*-0.25</f>
        <v>0.38659999999999994</v>
      </c>
      <c r="V1004">
        <f>J1004*0.5+I1004*-0.5</f>
        <v>-0.38269999999999998</v>
      </c>
      <c r="W1004">
        <f>M1004*0.5+G1004*0.25+I1004*0.25</f>
        <v>0.80549999999999999</v>
      </c>
    </row>
    <row r="1005" spans="1:23" x14ac:dyDescent="0.2">
      <c r="A1005">
        <v>2.8000000000000001E-2</v>
      </c>
      <c r="B1005">
        <v>0</v>
      </c>
      <c r="C1005">
        <v>4</v>
      </c>
      <c r="D1005">
        <v>0.19</v>
      </c>
      <c r="E1005">
        <v>-4.4779999999999998</v>
      </c>
      <c r="F1005">
        <v>201067</v>
      </c>
      <c r="G1005">
        <v>0.72899999999999998</v>
      </c>
      <c r="H1005">
        <v>199</v>
      </c>
      <c r="I1005">
        <v>0.79300000000000004</v>
      </c>
      <c r="J1005">
        <v>0.22900000000000001</v>
      </c>
      <c r="K1005" t="s">
        <v>2579</v>
      </c>
      <c r="L1005">
        <v>6</v>
      </c>
      <c r="M1005">
        <v>0.752</v>
      </c>
      <c r="N1005">
        <v>110.00700000000001</v>
      </c>
      <c r="O1005">
        <v>0</v>
      </c>
      <c r="P1005">
        <v>0</v>
      </c>
      <c r="Q1005">
        <v>2</v>
      </c>
      <c r="R1005" t="s">
        <v>2497</v>
      </c>
      <c r="S1005" t="s">
        <v>2580</v>
      </c>
      <c r="T1005">
        <f>I1005*-0.5+M1005*0.5</f>
        <v>-2.0500000000000018E-2</v>
      </c>
      <c r="U1005">
        <f>I1005*0.7+M1005*-0.25+D1005*-0.25</f>
        <v>0.31960000000000005</v>
      </c>
      <c r="V1005">
        <f>J1005*0.5+I1005*-0.5</f>
        <v>-0.28200000000000003</v>
      </c>
      <c r="W1005">
        <f>M1005*0.5+G1005*0.25+I1005*0.25</f>
        <v>0.75650000000000006</v>
      </c>
    </row>
    <row r="1006" spans="1:23" x14ac:dyDescent="0.2">
      <c r="A1006">
        <v>0.10100000000000001</v>
      </c>
      <c r="B1006">
        <v>8</v>
      </c>
      <c r="C1006">
        <v>4</v>
      </c>
      <c r="D1006">
        <v>0.51700000000000002</v>
      </c>
      <c r="E1006">
        <v>-4.7699999999999996</v>
      </c>
      <c r="F1006">
        <v>302000</v>
      </c>
      <c r="G1006">
        <v>0.78800000000000003</v>
      </c>
      <c r="H1006">
        <v>243</v>
      </c>
      <c r="I1006">
        <v>0.85</v>
      </c>
      <c r="J1006">
        <v>0.18099999999999999</v>
      </c>
      <c r="K1006" t="s">
        <v>2438</v>
      </c>
      <c r="L1006">
        <v>22</v>
      </c>
      <c r="M1006">
        <v>0.80800000000000005</v>
      </c>
      <c r="N1006">
        <v>143.04</v>
      </c>
      <c r="O1006">
        <v>0</v>
      </c>
      <c r="P1006">
        <v>0</v>
      </c>
      <c r="Q1006">
        <v>3</v>
      </c>
      <c r="R1006" t="s">
        <v>2439</v>
      </c>
      <c r="S1006" t="s">
        <v>2440</v>
      </c>
      <c r="T1006">
        <f>I1006*-0.5+M1006*0.5</f>
        <v>-2.0999999999999963E-2</v>
      </c>
      <c r="U1006">
        <f>I1006*0.7+M1006*-0.25+D1006*-0.25</f>
        <v>0.26374999999999993</v>
      </c>
      <c r="V1006">
        <f>J1006*0.5+I1006*-0.5</f>
        <v>-0.33450000000000002</v>
      </c>
      <c r="W1006">
        <f>M1006*0.5+G1006*0.25+I1006*0.25</f>
        <v>0.8135</v>
      </c>
    </row>
    <row r="1007" spans="1:23" x14ac:dyDescent="0.2">
      <c r="A1007">
        <v>4.4299999999999999E-2</v>
      </c>
      <c r="B1007">
        <v>0</v>
      </c>
      <c r="C1007">
        <v>4</v>
      </c>
      <c r="D1007">
        <v>0.28699999999999998</v>
      </c>
      <c r="E1007">
        <v>-2.5009999999999999</v>
      </c>
      <c r="F1007">
        <v>212747</v>
      </c>
      <c r="G1007">
        <v>0.57799999999999996</v>
      </c>
      <c r="H1007">
        <v>208</v>
      </c>
      <c r="I1007">
        <v>0.94299999999999995</v>
      </c>
      <c r="J1007">
        <v>2.6700000000000002E-2</v>
      </c>
      <c r="K1007" t="s">
        <v>1926</v>
      </c>
      <c r="L1007">
        <v>33</v>
      </c>
      <c r="M1007">
        <v>0.9</v>
      </c>
      <c r="N1007">
        <v>92.010999999999996</v>
      </c>
      <c r="O1007">
        <v>0</v>
      </c>
      <c r="P1007">
        <v>1</v>
      </c>
      <c r="Q1007">
        <v>12</v>
      </c>
      <c r="R1007" t="s">
        <v>1927</v>
      </c>
      <c r="S1007" t="s">
        <v>1928</v>
      </c>
      <c r="T1007">
        <f>I1007*-0.5+M1007*0.5</f>
        <v>-2.1499999999999964E-2</v>
      </c>
      <c r="U1007">
        <f>I1007*0.7+M1007*-0.25+D1007*-0.25</f>
        <v>0.36334999999999995</v>
      </c>
      <c r="V1007">
        <f>J1007*0.5+I1007*-0.5</f>
        <v>-0.45814999999999995</v>
      </c>
      <c r="W1007">
        <f>M1007*0.5+G1007*0.25+I1007*0.25</f>
        <v>0.83025000000000004</v>
      </c>
    </row>
    <row r="1008" spans="1:23" x14ac:dyDescent="0.2">
      <c r="A1008">
        <v>3.1099999999999999E-2</v>
      </c>
      <c r="B1008">
        <v>0</v>
      </c>
      <c r="C1008">
        <v>4</v>
      </c>
      <c r="D1008">
        <v>0.115</v>
      </c>
      <c r="E1008">
        <v>-5.2770000000000001</v>
      </c>
      <c r="F1008">
        <v>254533</v>
      </c>
      <c r="G1008">
        <v>0.72899999999999998</v>
      </c>
      <c r="H1008">
        <v>251</v>
      </c>
      <c r="I1008">
        <v>0.69599999999999995</v>
      </c>
      <c r="J1008">
        <v>0.65200000000000002</v>
      </c>
      <c r="K1008" t="s">
        <v>3065</v>
      </c>
      <c r="L1008">
        <v>31</v>
      </c>
      <c r="M1008">
        <v>0.65200000000000002</v>
      </c>
      <c r="N1008">
        <v>129.98699999999999</v>
      </c>
      <c r="O1008">
        <v>0</v>
      </c>
      <c r="P1008">
        <v>1</v>
      </c>
      <c r="Q1008">
        <v>10</v>
      </c>
      <c r="R1008" t="s">
        <v>1148</v>
      </c>
      <c r="S1008" t="s">
        <v>3066</v>
      </c>
      <c r="T1008">
        <f>I1008*-0.5+M1008*0.5</f>
        <v>-2.1999999999999964E-2</v>
      </c>
      <c r="U1008">
        <f>I1008*0.7+M1008*-0.25+D1008*-0.25</f>
        <v>0.29544999999999993</v>
      </c>
      <c r="V1008">
        <f>J1008*0.5+I1008*-0.5</f>
        <v>-2.1999999999999964E-2</v>
      </c>
      <c r="W1008">
        <f>M1008*0.5+G1008*0.25+I1008*0.25</f>
        <v>0.68225000000000002</v>
      </c>
    </row>
    <row r="1009" spans="1:23" x14ac:dyDescent="0.2">
      <c r="A1009">
        <v>3.3799999999999997E-2</v>
      </c>
      <c r="B1009">
        <v>3</v>
      </c>
      <c r="C1009">
        <v>4</v>
      </c>
      <c r="D1009">
        <v>0.124</v>
      </c>
      <c r="E1009">
        <v>-6.7629999999999999</v>
      </c>
      <c r="F1009">
        <v>278600</v>
      </c>
      <c r="G1009">
        <v>0.68700000000000006</v>
      </c>
      <c r="H1009">
        <v>224</v>
      </c>
      <c r="I1009">
        <v>0.57699999999999996</v>
      </c>
      <c r="J1009">
        <v>0.214</v>
      </c>
      <c r="K1009" t="s">
        <v>2771</v>
      </c>
      <c r="L1009">
        <v>3</v>
      </c>
      <c r="M1009">
        <v>0.53200000000000003</v>
      </c>
      <c r="N1009">
        <v>134.28299999999999</v>
      </c>
      <c r="O1009">
        <v>0</v>
      </c>
      <c r="P1009">
        <v>1</v>
      </c>
      <c r="Q1009">
        <v>7</v>
      </c>
      <c r="R1009" t="s">
        <v>1582</v>
      </c>
      <c r="S1009" t="s">
        <v>2772</v>
      </c>
      <c r="T1009">
        <f>I1009*-0.5+M1009*0.5</f>
        <v>-2.2499999999999964E-2</v>
      </c>
      <c r="U1009">
        <f>I1009*0.7+M1009*-0.25+D1009*-0.25</f>
        <v>0.23989999999999992</v>
      </c>
      <c r="V1009">
        <f>J1009*0.5+I1009*-0.5</f>
        <v>-0.18149999999999999</v>
      </c>
      <c r="W1009">
        <f>M1009*0.5+G1009*0.25+I1009*0.25</f>
        <v>0.58200000000000007</v>
      </c>
    </row>
    <row r="1010" spans="1:23" x14ac:dyDescent="0.2">
      <c r="A1010">
        <v>0.25</v>
      </c>
      <c r="B1010">
        <v>1</v>
      </c>
      <c r="C1010">
        <v>4</v>
      </c>
      <c r="D1010">
        <v>0.13700000000000001</v>
      </c>
      <c r="E1010">
        <v>-8.5389999999999997</v>
      </c>
      <c r="F1010">
        <v>244347</v>
      </c>
      <c r="G1010">
        <v>0.78800000000000003</v>
      </c>
      <c r="H1010">
        <v>243</v>
      </c>
      <c r="I1010">
        <v>0.65800000000000003</v>
      </c>
      <c r="J1010">
        <v>9.1400000000000006E-3</v>
      </c>
      <c r="K1010" t="s">
        <v>2281</v>
      </c>
      <c r="L1010">
        <v>34</v>
      </c>
      <c r="M1010">
        <v>0.61299999999999999</v>
      </c>
      <c r="N1010">
        <v>89.984999999999999</v>
      </c>
      <c r="O1010">
        <v>0</v>
      </c>
      <c r="P1010">
        <v>0</v>
      </c>
      <c r="Q1010">
        <v>6</v>
      </c>
      <c r="R1010" t="s">
        <v>2282</v>
      </c>
      <c r="S1010" t="s">
        <v>2283</v>
      </c>
      <c r="T1010">
        <f>I1010*-0.5+M1010*0.5</f>
        <v>-2.250000000000002E-2</v>
      </c>
      <c r="U1010">
        <f>I1010*0.7+M1010*-0.25+D1010*-0.25</f>
        <v>0.27310000000000001</v>
      </c>
      <c r="V1010">
        <f>J1010*0.5+I1010*-0.5</f>
        <v>-0.32443</v>
      </c>
      <c r="W1010">
        <f>M1010*0.5+G1010*0.25+I1010*0.25</f>
        <v>0.66800000000000004</v>
      </c>
    </row>
    <row r="1011" spans="1:23" x14ac:dyDescent="0.2">
      <c r="A1011">
        <v>5.3699999999999998E-2</v>
      </c>
      <c r="B1011">
        <v>2</v>
      </c>
      <c r="C1011">
        <v>4</v>
      </c>
      <c r="D1011">
        <v>8.6099999999999996E-2</v>
      </c>
      <c r="E1011">
        <v>-6.5739999999999998</v>
      </c>
      <c r="F1011">
        <v>213445</v>
      </c>
      <c r="G1011">
        <v>0.69699999999999995</v>
      </c>
      <c r="H1011">
        <v>207</v>
      </c>
      <c r="I1011">
        <v>0.73299999999999998</v>
      </c>
      <c r="J1011">
        <v>0.27900000000000003</v>
      </c>
      <c r="K1011" t="s">
        <v>2752</v>
      </c>
      <c r="L1011">
        <v>57</v>
      </c>
      <c r="M1011">
        <v>0.68700000000000006</v>
      </c>
      <c r="N1011">
        <v>154.92099999999999</v>
      </c>
      <c r="O1011" s="1">
        <v>5.1100000000000002E-6</v>
      </c>
      <c r="P1011">
        <v>0</v>
      </c>
      <c r="Q1011">
        <v>4</v>
      </c>
      <c r="R1011" t="s">
        <v>267</v>
      </c>
      <c r="S1011" t="s">
        <v>2753</v>
      </c>
      <c r="T1011">
        <f>I1011*-0.5+M1011*0.5</f>
        <v>-2.2999999999999965E-2</v>
      </c>
      <c r="U1011">
        <f>I1011*0.7+M1011*-0.25+D1011*-0.25</f>
        <v>0.31982499999999997</v>
      </c>
      <c r="V1011">
        <f>J1011*0.5+I1011*-0.5</f>
        <v>-0.22699999999999998</v>
      </c>
      <c r="W1011">
        <f>M1011*0.5+G1011*0.25+I1011*0.25</f>
        <v>0.70100000000000007</v>
      </c>
    </row>
    <row r="1012" spans="1:23" x14ac:dyDescent="0.2">
      <c r="A1012">
        <v>6.9500000000000006E-2</v>
      </c>
      <c r="B1012">
        <v>0</v>
      </c>
      <c r="C1012">
        <v>4</v>
      </c>
      <c r="D1012">
        <v>0.35299999999999998</v>
      </c>
      <c r="E1012">
        <v>-4.774</v>
      </c>
      <c r="F1012">
        <v>227547</v>
      </c>
      <c r="G1012">
        <v>0.84899999999999998</v>
      </c>
      <c r="H1012">
        <v>227</v>
      </c>
      <c r="I1012">
        <v>0.66500000000000004</v>
      </c>
      <c r="J1012">
        <v>6.1800000000000001E-2</v>
      </c>
      <c r="K1012" t="s">
        <v>2406</v>
      </c>
      <c r="L1012">
        <v>6</v>
      </c>
      <c r="M1012">
        <v>0.61899999999999999</v>
      </c>
      <c r="N1012">
        <v>94.762</v>
      </c>
      <c r="O1012">
        <v>0</v>
      </c>
      <c r="P1012">
        <v>1</v>
      </c>
      <c r="Q1012">
        <v>7</v>
      </c>
      <c r="R1012" t="s">
        <v>2407</v>
      </c>
      <c r="S1012" t="s">
        <v>2408</v>
      </c>
      <c r="T1012">
        <f>I1012*-0.5+M1012*0.5</f>
        <v>-2.300000000000002E-2</v>
      </c>
      <c r="U1012">
        <f>I1012*0.7+M1012*-0.25+D1012*-0.25</f>
        <v>0.22249999999999998</v>
      </c>
      <c r="V1012">
        <f>J1012*0.5+I1012*-0.5</f>
        <v>-0.30160000000000003</v>
      </c>
      <c r="W1012">
        <f>M1012*0.5+G1012*0.25+I1012*0.25</f>
        <v>0.68799999999999994</v>
      </c>
    </row>
    <row r="1013" spans="1:23" x14ac:dyDescent="0.2">
      <c r="A1013">
        <v>6.3100000000000003E-2</v>
      </c>
      <c r="B1013">
        <v>2</v>
      </c>
      <c r="C1013">
        <v>4</v>
      </c>
      <c r="D1013">
        <v>6.5100000000000005E-2</v>
      </c>
      <c r="E1013">
        <v>-7.08</v>
      </c>
      <c r="F1013">
        <v>263440</v>
      </c>
      <c r="G1013">
        <v>0.72099999999999997</v>
      </c>
      <c r="H1013">
        <v>204</v>
      </c>
      <c r="I1013">
        <v>0.76900000000000002</v>
      </c>
      <c r="J1013">
        <v>0.10199999999999999</v>
      </c>
      <c r="K1013" t="s">
        <v>2358</v>
      </c>
      <c r="L1013">
        <v>6</v>
      </c>
      <c r="M1013">
        <v>0.72299999999999998</v>
      </c>
      <c r="N1013">
        <v>88.933000000000007</v>
      </c>
      <c r="O1013" s="1">
        <v>4.4000000000000002E-6</v>
      </c>
      <c r="P1013">
        <v>0</v>
      </c>
      <c r="Q1013">
        <v>8</v>
      </c>
      <c r="R1013" t="s">
        <v>1651</v>
      </c>
      <c r="S1013" t="s">
        <v>2359</v>
      </c>
      <c r="T1013">
        <f>I1013*-0.5+M1013*0.5</f>
        <v>-2.300000000000002E-2</v>
      </c>
      <c r="U1013">
        <f>I1013*0.7+M1013*-0.25+D1013*-0.25</f>
        <v>0.34127500000000005</v>
      </c>
      <c r="V1013">
        <f>J1013*0.5+I1013*-0.5</f>
        <v>-0.33350000000000002</v>
      </c>
      <c r="W1013">
        <f>M1013*0.5+G1013*0.25+I1013*0.25</f>
        <v>0.73399999999999999</v>
      </c>
    </row>
    <row r="1014" spans="1:23" x14ac:dyDescent="0.2">
      <c r="A1014">
        <v>4.0599999999999997E-2</v>
      </c>
      <c r="B1014">
        <v>1</v>
      </c>
      <c r="C1014">
        <v>4</v>
      </c>
      <c r="D1014">
        <v>0.20200000000000001</v>
      </c>
      <c r="E1014">
        <v>-4.8620000000000001</v>
      </c>
      <c r="F1014">
        <v>196160</v>
      </c>
      <c r="G1014">
        <v>0.79300000000000004</v>
      </c>
      <c r="H1014">
        <v>195</v>
      </c>
      <c r="I1014">
        <v>0.878</v>
      </c>
      <c r="J1014">
        <v>0.23599999999999999</v>
      </c>
      <c r="K1014" t="s">
        <v>2532</v>
      </c>
      <c r="L1014">
        <v>9</v>
      </c>
      <c r="M1014">
        <v>0.83199999999999996</v>
      </c>
      <c r="N1014">
        <v>107.661</v>
      </c>
      <c r="O1014" s="1">
        <v>1.1199999999999999E-5</v>
      </c>
      <c r="P1014">
        <v>0</v>
      </c>
      <c r="Q1014">
        <v>4</v>
      </c>
      <c r="R1014" t="s">
        <v>1138</v>
      </c>
      <c r="S1014" t="s">
        <v>2533</v>
      </c>
      <c r="T1014">
        <f>I1014*-0.5+M1014*0.5</f>
        <v>-2.300000000000002E-2</v>
      </c>
      <c r="U1014">
        <f>I1014*0.7+M1014*-0.25+D1014*-0.25</f>
        <v>0.35609999999999997</v>
      </c>
      <c r="V1014">
        <f>J1014*0.5+I1014*-0.5</f>
        <v>-0.32100000000000001</v>
      </c>
      <c r="W1014">
        <f>M1014*0.5+G1014*0.25+I1014*0.25</f>
        <v>0.83374999999999999</v>
      </c>
    </row>
    <row r="1015" spans="1:23" x14ac:dyDescent="0.2">
      <c r="A1015">
        <v>6.3600000000000004E-2</v>
      </c>
      <c r="B1015">
        <v>10</v>
      </c>
      <c r="C1015">
        <v>4</v>
      </c>
      <c r="D1015">
        <v>7.3700000000000002E-2</v>
      </c>
      <c r="E1015">
        <v>-4.1059999999999999</v>
      </c>
      <c r="F1015">
        <v>200453</v>
      </c>
      <c r="G1015">
        <v>0.69699999999999995</v>
      </c>
      <c r="H1015">
        <v>199</v>
      </c>
      <c r="I1015">
        <v>0.82199999999999995</v>
      </c>
      <c r="J1015">
        <v>0.13900000000000001</v>
      </c>
      <c r="K1015" t="s">
        <v>2397</v>
      </c>
      <c r="L1015">
        <v>37</v>
      </c>
      <c r="M1015">
        <v>0.77500000000000002</v>
      </c>
      <c r="N1015">
        <v>90.015000000000001</v>
      </c>
      <c r="O1015">
        <v>0</v>
      </c>
      <c r="P1015">
        <v>1</v>
      </c>
      <c r="Q1015">
        <v>15</v>
      </c>
      <c r="R1015" t="s">
        <v>1979</v>
      </c>
      <c r="S1015" t="s">
        <v>2398</v>
      </c>
      <c r="T1015">
        <f>I1015*-0.5+M1015*0.5</f>
        <v>-2.3499999999999965E-2</v>
      </c>
      <c r="U1015">
        <f>I1015*0.7+M1015*-0.25+D1015*-0.25</f>
        <v>0.36322499999999991</v>
      </c>
      <c r="V1015">
        <f>J1015*0.5+I1015*-0.5</f>
        <v>-0.34149999999999997</v>
      </c>
      <c r="W1015">
        <f>M1015*0.5+G1015*0.25+I1015*0.25</f>
        <v>0.76724999999999999</v>
      </c>
    </row>
    <row r="1016" spans="1:23" x14ac:dyDescent="0.2">
      <c r="A1016">
        <v>2.52E-2</v>
      </c>
      <c r="B1016">
        <v>6</v>
      </c>
      <c r="C1016">
        <v>4</v>
      </c>
      <c r="D1016">
        <v>7.6499999999999999E-2</v>
      </c>
      <c r="E1016">
        <v>-5.0880000000000001</v>
      </c>
      <c r="F1016">
        <v>234960</v>
      </c>
      <c r="G1016">
        <v>0.63</v>
      </c>
      <c r="H1016">
        <v>233</v>
      </c>
      <c r="I1016">
        <v>0.67200000000000004</v>
      </c>
      <c r="J1016">
        <v>0.23100000000000001</v>
      </c>
      <c r="K1016" t="s">
        <v>2726</v>
      </c>
      <c r="L1016">
        <v>5</v>
      </c>
      <c r="M1016">
        <v>0.625</v>
      </c>
      <c r="N1016">
        <v>167.99799999999999</v>
      </c>
      <c r="O1016">
        <v>0</v>
      </c>
      <c r="P1016">
        <v>0</v>
      </c>
      <c r="Q1016">
        <v>11</v>
      </c>
      <c r="R1016" t="s">
        <v>1005</v>
      </c>
      <c r="S1016" t="s">
        <v>2727</v>
      </c>
      <c r="T1016">
        <f>I1016*-0.5+M1016*0.5</f>
        <v>-2.3500000000000021E-2</v>
      </c>
      <c r="U1016">
        <f>I1016*0.7+M1016*-0.25+D1016*-0.25</f>
        <v>0.29502499999999998</v>
      </c>
      <c r="V1016">
        <f>J1016*0.5+I1016*-0.5</f>
        <v>-0.22050000000000003</v>
      </c>
      <c r="W1016">
        <f>M1016*0.5+G1016*0.25+I1016*0.25</f>
        <v>0.63800000000000001</v>
      </c>
    </row>
    <row r="1017" spans="1:23" x14ac:dyDescent="0.2">
      <c r="A1017">
        <v>3.5799999999999998E-2</v>
      </c>
      <c r="B1017">
        <v>5</v>
      </c>
      <c r="C1017">
        <v>4</v>
      </c>
      <c r="D1017">
        <v>8.09E-2</v>
      </c>
      <c r="E1017">
        <v>-4.82</v>
      </c>
      <c r="F1017">
        <v>228973</v>
      </c>
      <c r="G1017">
        <v>0.79600000000000004</v>
      </c>
      <c r="H1017">
        <v>228</v>
      </c>
      <c r="I1017">
        <v>0.752</v>
      </c>
      <c r="J1017">
        <v>3.32E-2</v>
      </c>
      <c r="K1017" t="s">
        <v>2229</v>
      </c>
      <c r="L1017">
        <v>28</v>
      </c>
      <c r="M1017">
        <v>0.70499999999999996</v>
      </c>
      <c r="N1017">
        <v>113.964</v>
      </c>
      <c r="O1017" s="1">
        <v>2.1399999999999998E-6</v>
      </c>
      <c r="P1017">
        <v>0</v>
      </c>
      <c r="Q1017">
        <v>3</v>
      </c>
      <c r="R1017" t="s">
        <v>2230</v>
      </c>
      <c r="S1017" t="s">
        <v>2231</v>
      </c>
      <c r="T1017">
        <f>I1017*-0.5+M1017*0.5</f>
        <v>-2.3500000000000021E-2</v>
      </c>
      <c r="U1017">
        <f>I1017*0.7+M1017*-0.25+D1017*-0.25</f>
        <v>0.32992499999999997</v>
      </c>
      <c r="V1017">
        <f>J1017*0.5+I1017*-0.5</f>
        <v>-0.3594</v>
      </c>
      <c r="W1017">
        <f>M1017*0.5+G1017*0.25+I1017*0.25</f>
        <v>0.73950000000000005</v>
      </c>
    </row>
    <row r="1018" spans="1:23" x14ac:dyDescent="0.2">
      <c r="A1018">
        <v>5.5100000000000003E-2</v>
      </c>
      <c r="B1018">
        <v>7</v>
      </c>
      <c r="C1018">
        <v>4</v>
      </c>
      <c r="D1018">
        <v>0.23200000000000001</v>
      </c>
      <c r="E1018">
        <v>-6.8520000000000003</v>
      </c>
      <c r="F1018">
        <v>204640</v>
      </c>
      <c r="G1018">
        <v>0.72</v>
      </c>
      <c r="H1018">
        <v>204</v>
      </c>
      <c r="I1018">
        <v>0.72</v>
      </c>
      <c r="J1018">
        <v>8.9999999999999993E-3</v>
      </c>
      <c r="K1018" t="s">
        <v>2208</v>
      </c>
      <c r="L1018">
        <v>31</v>
      </c>
      <c r="M1018">
        <v>0.67200000000000004</v>
      </c>
      <c r="N1018">
        <v>124.986</v>
      </c>
      <c r="O1018">
        <v>0</v>
      </c>
      <c r="P1018">
        <v>1</v>
      </c>
      <c r="Q1018">
        <v>2</v>
      </c>
      <c r="R1018" t="s">
        <v>916</v>
      </c>
      <c r="S1018" t="s">
        <v>2209</v>
      </c>
      <c r="T1018">
        <f>I1018*-0.5+M1018*0.5</f>
        <v>-2.3999999999999966E-2</v>
      </c>
      <c r="U1018">
        <f>I1018*0.7+M1018*-0.25+D1018*-0.25</f>
        <v>0.27799999999999997</v>
      </c>
      <c r="V1018">
        <f>J1018*0.5+I1018*-0.5</f>
        <v>-0.35549999999999998</v>
      </c>
      <c r="W1018">
        <f>M1018*0.5+G1018*0.25+I1018*0.25</f>
        <v>0.69599999999999995</v>
      </c>
    </row>
    <row r="1019" spans="1:23" x14ac:dyDescent="0.2">
      <c r="A1019">
        <v>0.24</v>
      </c>
      <c r="B1019">
        <v>4</v>
      </c>
      <c r="C1019">
        <v>4</v>
      </c>
      <c r="D1019">
        <v>0.60499999999999998</v>
      </c>
      <c r="E1019">
        <v>-6.3250000000000002</v>
      </c>
      <c r="F1019">
        <v>214893</v>
      </c>
      <c r="G1019">
        <v>0.86599999999999999</v>
      </c>
      <c r="H1019">
        <v>225</v>
      </c>
      <c r="I1019">
        <v>0.92500000000000004</v>
      </c>
      <c r="J1019">
        <v>8.9700000000000002E-2</v>
      </c>
      <c r="K1019" t="s">
        <v>2160</v>
      </c>
      <c r="L1019">
        <v>16</v>
      </c>
      <c r="M1019">
        <v>0.875</v>
      </c>
      <c r="N1019">
        <v>100.17100000000001</v>
      </c>
      <c r="O1019" s="1">
        <v>1.4699999999999999E-6</v>
      </c>
      <c r="P1019">
        <v>0</v>
      </c>
      <c r="Q1019">
        <v>6</v>
      </c>
      <c r="R1019" t="s">
        <v>491</v>
      </c>
      <c r="S1019" t="s">
        <v>2124</v>
      </c>
      <c r="T1019">
        <f>I1019*-0.5+M1019*0.5</f>
        <v>-2.5000000000000022E-2</v>
      </c>
      <c r="U1019">
        <f>I1019*0.7+M1019*-0.25+D1019*-0.25</f>
        <v>0.27749999999999997</v>
      </c>
      <c r="V1019">
        <f>J1019*0.5+I1019*-0.5</f>
        <v>-0.41765000000000002</v>
      </c>
      <c r="W1019">
        <f>M1019*0.5+G1019*0.25+I1019*0.25</f>
        <v>0.88525000000000009</v>
      </c>
    </row>
    <row r="1020" spans="1:23" x14ac:dyDescent="0.2">
      <c r="A1020">
        <v>0.26</v>
      </c>
      <c r="B1020">
        <v>7</v>
      </c>
      <c r="C1020">
        <v>4</v>
      </c>
      <c r="D1020">
        <v>0.64600000000000002</v>
      </c>
      <c r="E1020">
        <v>-5.0529999999999999</v>
      </c>
      <c r="F1020">
        <v>244627</v>
      </c>
      <c r="G1020">
        <v>0.442</v>
      </c>
      <c r="H1020">
        <v>244</v>
      </c>
      <c r="I1020">
        <v>0.68899999999999995</v>
      </c>
      <c r="J1020">
        <v>1.99E-3</v>
      </c>
      <c r="K1020" t="s">
        <v>2245</v>
      </c>
      <c r="L1020">
        <v>29</v>
      </c>
      <c r="M1020">
        <v>0.63800000000000001</v>
      </c>
      <c r="N1020">
        <v>82.206000000000003</v>
      </c>
      <c r="O1020">
        <v>0</v>
      </c>
      <c r="P1020">
        <v>1</v>
      </c>
      <c r="Q1020">
        <v>9</v>
      </c>
      <c r="R1020" t="s">
        <v>2246</v>
      </c>
      <c r="S1020" t="s">
        <v>2247</v>
      </c>
      <c r="T1020">
        <f>I1020*-0.5+M1020*0.5</f>
        <v>-2.5499999999999967E-2</v>
      </c>
      <c r="U1020">
        <f>I1020*0.7+M1020*-0.25+D1020*-0.25</f>
        <v>0.16129999999999997</v>
      </c>
      <c r="V1020">
        <f>J1020*0.5+I1020*-0.5</f>
        <v>-0.34350499999999995</v>
      </c>
      <c r="W1020">
        <f>M1020*0.5+G1020*0.25+I1020*0.25</f>
        <v>0.60175000000000001</v>
      </c>
    </row>
    <row r="1021" spans="1:23" x14ac:dyDescent="0.2">
      <c r="A1021">
        <v>4.2599999999999999E-2</v>
      </c>
      <c r="B1021">
        <v>0</v>
      </c>
      <c r="C1021">
        <v>4</v>
      </c>
      <c r="D1021">
        <v>7.5899999999999995E-2</v>
      </c>
      <c r="E1021">
        <v>-4.524</v>
      </c>
      <c r="F1021">
        <v>189307</v>
      </c>
      <c r="G1021">
        <v>0.75</v>
      </c>
      <c r="H1021">
        <v>186</v>
      </c>
      <c r="I1021">
        <v>0.93899999999999995</v>
      </c>
      <c r="J1021">
        <v>1.47E-2</v>
      </c>
      <c r="K1021" t="s">
        <v>1932</v>
      </c>
      <c r="L1021">
        <v>22</v>
      </c>
      <c r="M1021">
        <v>0.88800000000000001</v>
      </c>
      <c r="N1021">
        <v>115.973</v>
      </c>
      <c r="O1021" s="1">
        <v>1.11E-6</v>
      </c>
      <c r="P1021">
        <v>1</v>
      </c>
      <c r="Q1021">
        <v>14</v>
      </c>
      <c r="R1021" t="s">
        <v>211</v>
      </c>
      <c r="S1021" t="s">
        <v>1933</v>
      </c>
      <c r="T1021">
        <f>I1021*-0.5+M1021*0.5</f>
        <v>-2.5499999999999967E-2</v>
      </c>
      <c r="U1021">
        <f>I1021*0.7+M1021*-0.25+D1021*-0.25</f>
        <v>0.41632499999999989</v>
      </c>
      <c r="V1021">
        <f>J1021*0.5+I1021*-0.5</f>
        <v>-0.46214999999999995</v>
      </c>
      <c r="W1021">
        <f>M1021*0.5+G1021*0.25+I1021*0.25</f>
        <v>0.86624999999999996</v>
      </c>
    </row>
    <row r="1022" spans="1:23" x14ac:dyDescent="0.2">
      <c r="A1022">
        <v>0.14399999999999999</v>
      </c>
      <c r="B1022">
        <v>10</v>
      </c>
      <c r="C1022">
        <v>4</v>
      </c>
      <c r="D1022">
        <v>5.2999999999999999E-2</v>
      </c>
      <c r="E1022">
        <v>-5.8390000000000004</v>
      </c>
      <c r="F1022">
        <v>390653</v>
      </c>
      <c r="G1022">
        <v>0.86799999999999999</v>
      </c>
      <c r="H1022">
        <v>226</v>
      </c>
      <c r="I1022">
        <v>0.43</v>
      </c>
      <c r="J1022">
        <v>1.0999999999999999E-2</v>
      </c>
      <c r="K1022" t="s">
        <v>2552</v>
      </c>
      <c r="L1022">
        <v>17</v>
      </c>
      <c r="M1022">
        <v>0.379</v>
      </c>
      <c r="N1022">
        <v>106.94499999999999</v>
      </c>
      <c r="O1022" s="1">
        <v>1.29E-5</v>
      </c>
      <c r="P1022">
        <v>0</v>
      </c>
      <c r="Q1022">
        <v>4</v>
      </c>
      <c r="R1022" t="s">
        <v>2553</v>
      </c>
      <c r="S1022" t="s">
        <v>2554</v>
      </c>
      <c r="T1022">
        <f>I1022*-0.5+M1022*0.5</f>
        <v>-2.5499999999999995E-2</v>
      </c>
      <c r="U1022">
        <f>I1022*0.7+M1022*-0.25+D1022*-0.25</f>
        <v>0.19299999999999998</v>
      </c>
      <c r="V1022">
        <f>J1022*0.5+I1022*-0.5</f>
        <v>-0.20949999999999999</v>
      </c>
      <c r="W1022">
        <f>M1022*0.5+G1022*0.25+I1022*0.25</f>
        <v>0.51400000000000001</v>
      </c>
    </row>
    <row r="1023" spans="1:23" x14ac:dyDescent="0.2">
      <c r="A1023">
        <v>0.26200000000000001</v>
      </c>
      <c r="B1023">
        <v>1</v>
      </c>
      <c r="C1023">
        <v>4</v>
      </c>
      <c r="D1023">
        <v>7.3700000000000002E-2</v>
      </c>
      <c r="E1023">
        <v>-8.1370000000000005</v>
      </c>
      <c r="F1023">
        <v>227960</v>
      </c>
      <c r="G1023">
        <v>0.45100000000000001</v>
      </c>
      <c r="H1023">
        <v>228</v>
      </c>
      <c r="I1023">
        <v>0.60299999999999998</v>
      </c>
      <c r="J1023">
        <v>1.0800000000000001E-2</v>
      </c>
      <c r="K1023" t="s">
        <v>2378</v>
      </c>
      <c r="L1023">
        <v>25</v>
      </c>
      <c r="M1023">
        <v>0.55000000000000004</v>
      </c>
      <c r="N1023">
        <v>80.001000000000005</v>
      </c>
      <c r="O1023">
        <v>0</v>
      </c>
      <c r="P1023">
        <v>1</v>
      </c>
      <c r="Q1023">
        <v>9</v>
      </c>
      <c r="R1023" t="s">
        <v>2379</v>
      </c>
      <c r="S1023" t="s">
        <v>2380</v>
      </c>
      <c r="T1023">
        <f>I1023*-0.5+M1023*0.5</f>
        <v>-2.6499999999999968E-2</v>
      </c>
      <c r="U1023">
        <f>I1023*0.7+M1023*-0.25+D1023*-0.25</f>
        <v>0.26617499999999994</v>
      </c>
      <c r="V1023">
        <f>J1023*0.5+I1023*-0.5</f>
        <v>-0.29609999999999997</v>
      </c>
      <c r="W1023">
        <f>M1023*0.5+G1023*0.25+I1023*0.25</f>
        <v>0.53849999999999998</v>
      </c>
    </row>
    <row r="1024" spans="1:23" x14ac:dyDescent="0.2">
      <c r="A1024">
        <v>0.30099999999999999</v>
      </c>
      <c r="B1024">
        <v>7</v>
      </c>
      <c r="C1024">
        <v>4</v>
      </c>
      <c r="D1024">
        <v>3.3300000000000003E-2</v>
      </c>
      <c r="E1024">
        <v>-6.9740000000000002</v>
      </c>
      <c r="F1024">
        <v>255760</v>
      </c>
      <c r="G1024">
        <v>0.93</v>
      </c>
      <c r="H1024">
        <v>253</v>
      </c>
      <c r="I1024">
        <v>0.66100000000000003</v>
      </c>
      <c r="J1024">
        <v>0.13</v>
      </c>
      <c r="K1024" t="s">
        <v>2565</v>
      </c>
      <c r="L1024">
        <v>5</v>
      </c>
      <c r="M1024">
        <v>0.60799999999999998</v>
      </c>
      <c r="N1024">
        <v>98.05</v>
      </c>
      <c r="O1024" s="1">
        <v>8.9299999999999992E-6</v>
      </c>
      <c r="P1024">
        <v>1</v>
      </c>
      <c r="Q1024">
        <v>7</v>
      </c>
      <c r="R1024" t="s">
        <v>2566</v>
      </c>
      <c r="S1024" t="s">
        <v>2567</v>
      </c>
      <c r="T1024">
        <f>I1024*-0.5+M1024*0.5</f>
        <v>-2.6500000000000024E-2</v>
      </c>
      <c r="U1024">
        <f>I1024*0.7+M1024*-0.25+D1024*-0.25</f>
        <v>0.30237499999999995</v>
      </c>
      <c r="V1024">
        <f>J1024*0.5+I1024*-0.5</f>
        <v>-0.26550000000000001</v>
      </c>
      <c r="W1024">
        <f>M1024*0.5+G1024*0.25+I1024*0.25</f>
        <v>0.70174999999999998</v>
      </c>
    </row>
    <row r="1025" spans="1:23" x14ac:dyDescent="0.2">
      <c r="A1025">
        <v>0.10299999999999999</v>
      </c>
      <c r="B1025">
        <v>4</v>
      </c>
      <c r="C1025">
        <v>4</v>
      </c>
      <c r="D1025">
        <v>0.28599999999999998</v>
      </c>
      <c r="E1025">
        <v>-6.4130000000000003</v>
      </c>
      <c r="F1025">
        <v>209490</v>
      </c>
      <c r="G1025">
        <v>0.83299999999999996</v>
      </c>
      <c r="H1025">
        <v>206</v>
      </c>
      <c r="I1025">
        <v>0.73099999999999998</v>
      </c>
      <c r="J1025">
        <v>0.20699999999999999</v>
      </c>
      <c r="K1025" t="s">
        <v>2653</v>
      </c>
      <c r="L1025">
        <v>14</v>
      </c>
      <c r="M1025">
        <v>0.67700000000000005</v>
      </c>
      <c r="N1025">
        <v>132.876</v>
      </c>
      <c r="O1025" s="1">
        <v>3.9199999999999997E-6</v>
      </c>
      <c r="P1025">
        <v>1</v>
      </c>
      <c r="Q1025">
        <v>3</v>
      </c>
      <c r="R1025" t="s">
        <v>905</v>
      </c>
      <c r="S1025" t="s">
        <v>2654</v>
      </c>
      <c r="T1025">
        <f>I1025*-0.5+M1025*0.5</f>
        <v>-2.6999999999999968E-2</v>
      </c>
      <c r="U1025">
        <f>I1025*0.7+M1025*-0.25+D1025*-0.25</f>
        <v>0.27094999999999991</v>
      </c>
      <c r="V1025">
        <f>J1025*0.5+I1025*-0.5</f>
        <v>-0.26200000000000001</v>
      </c>
      <c r="W1025">
        <f>M1025*0.5+G1025*0.25+I1025*0.25</f>
        <v>0.72950000000000004</v>
      </c>
    </row>
    <row r="1026" spans="1:23" x14ac:dyDescent="0.2">
      <c r="A1026">
        <v>3.7999999999999999E-2</v>
      </c>
      <c r="B1026">
        <v>6</v>
      </c>
      <c r="C1026">
        <v>4</v>
      </c>
      <c r="D1026">
        <v>0.10100000000000001</v>
      </c>
      <c r="E1026">
        <v>-8.9659999999999993</v>
      </c>
      <c r="F1026">
        <v>248413</v>
      </c>
      <c r="G1026">
        <v>0.79400000000000004</v>
      </c>
      <c r="H1026">
        <v>247</v>
      </c>
      <c r="I1026">
        <v>0.86499999999999999</v>
      </c>
      <c r="J1026">
        <v>4.2599999999999999E-2</v>
      </c>
      <c r="K1026" t="s">
        <v>2127</v>
      </c>
      <c r="L1026">
        <v>48</v>
      </c>
      <c r="M1026">
        <v>0.81100000000000005</v>
      </c>
      <c r="N1026">
        <v>116.047</v>
      </c>
      <c r="O1026" s="1">
        <v>1.0699999999999999E-6</v>
      </c>
      <c r="P1026">
        <v>0</v>
      </c>
      <c r="Q1026">
        <v>5</v>
      </c>
      <c r="R1026" t="s">
        <v>2128</v>
      </c>
      <c r="S1026" t="s">
        <v>2129</v>
      </c>
      <c r="T1026">
        <f>I1026*-0.5+M1026*0.5</f>
        <v>-2.6999999999999968E-2</v>
      </c>
      <c r="U1026">
        <f>I1026*0.7+M1026*-0.25+D1026*-0.25</f>
        <v>0.37749999999999995</v>
      </c>
      <c r="V1026">
        <f>J1026*0.5+I1026*-0.5</f>
        <v>-0.41120000000000001</v>
      </c>
      <c r="W1026">
        <f>M1026*0.5+G1026*0.25+I1026*0.25</f>
        <v>0.82025000000000015</v>
      </c>
    </row>
    <row r="1027" spans="1:23" x14ac:dyDescent="0.2">
      <c r="A1027">
        <v>5.4699999999999999E-2</v>
      </c>
      <c r="B1027">
        <v>1</v>
      </c>
      <c r="C1027">
        <v>4</v>
      </c>
      <c r="D1027">
        <v>0.17299999999999999</v>
      </c>
      <c r="E1027">
        <v>-6.9340000000000002</v>
      </c>
      <c r="F1027">
        <v>259493</v>
      </c>
      <c r="G1027">
        <v>0.622</v>
      </c>
      <c r="H1027">
        <v>239</v>
      </c>
      <c r="I1027">
        <v>0.627</v>
      </c>
      <c r="J1027">
        <v>0.26</v>
      </c>
      <c r="K1027" t="s">
        <v>2828</v>
      </c>
      <c r="L1027">
        <v>11</v>
      </c>
      <c r="M1027">
        <v>0.57299999999999995</v>
      </c>
      <c r="N1027">
        <v>127.13200000000001</v>
      </c>
      <c r="O1027">
        <v>0</v>
      </c>
      <c r="P1027">
        <v>0</v>
      </c>
      <c r="Q1027">
        <v>13</v>
      </c>
      <c r="R1027" t="s">
        <v>2829</v>
      </c>
      <c r="S1027" t="s">
        <v>2830</v>
      </c>
      <c r="T1027">
        <f>I1027*-0.5+M1027*0.5</f>
        <v>-2.7000000000000024E-2</v>
      </c>
      <c r="U1027">
        <f>I1027*0.7+M1027*-0.25+D1027*-0.25</f>
        <v>0.25239999999999996</v>
      </c>
      <c r="V1027">
        <f>J1027*0.5+I1027*-0.5</f>
        <v>-0.1835</v>
      </c>
      <c r="W1027">
        <f>M1027*0.5+G1027*0.25+I1027*0.25</f>
        <v>0.59874999999999989</v>
      </c>
    </row>
    <row r="1028" spans="1:23" x14ac:dyDescent="0.2">
      <c r="A1028">
        <v>8.9300000000000004E-2</v>
      </c>
      <c r="B1028">
        <v>9</v>
      </c>
      <c r="C1028">
        <v>4</v>
      </c>
      <c r="D1028">
        <v>0.36299999999999999</v>
      </c>
      <c r="E1028">
        <v>-3.1520000000000001</v>
      </c>
      <c r="F1028">
        <v>310573</v>
      </c>
      <c r="G1028">
        <v>0.755</v>
      </c>
      <c r="H1028">
        <v>296</v>
      </c>
      <c r="I1028">
        <v>0.95599999999999996</v>
      </c>
      <c r="J1028">
        <v>4.5100000000000001E-2</v>
      </c>
      <c r="K1028" t="s">
        <v>2008</v>
      </c>
      <c r="L1028">
        <v>31</v>
      </c>
      <c r="M1028">
        <v>0.90100000000000002</v>
      </c>
      <c r="N1028">
        <v>145.042</v>
      </c>
      <c r="O1028">
        <v>3.73E-2</v>
      </c>
      <c r="P1028">
        <v>1</v>
      </c>
      <c r="Q1028">
        <v>16</v>
      </c>
      <c r="R1028" t="s">
        <v>2009</v>
      </c>
      <c r="S1028" t="s">
        <v>2010</v>
      </c>
      <c r="T1028">
        <f>I1028*-0.5+M1028*0.5</f>
        <v>-2.7499999999999969E-2</v>
      </c>
      <c r="U1028">
        <f>I1028*0.7+M1028*-0.25+D1028*-0.25</f>
        <v>0.3531999999999999</v>
      </c>
      <c r="V1028">
        <f>J1028*0.5+I1028*-0.5</f>
        <v>-0.45544999999999997</v>
      </c>
      <c r="W1028">
        <f>M1028*0.5+G1028*0.25+I1028*0.25</f>
        <v>0.87824999999999998</v>
      </c>
    </row>
    <row r="1029" spans="1:23" x14ac:dyDescent="0.2">
      <c r="A1029">
        <v>3.5099999999999999E-2</v>
      </c>
      <c r="B1029">
        <v>1</v>
      </c>
      <c r="C1029">
        <v>4</v>
      </c>
      <c r="D1029">
        <v>5.74E-2</v>
      </c>
      <c r="E1029">
        <v>-4.1719999999999997</v>
      </c>
      <c r="F1029">
        <v>207493</v>
      </c>
      <c r="G1029">
        <v>0.67600000000000005</v>
      </c>
      <c r="H1029">
        <v>205</v>
      </c>
      <c r="I1029">
        <v>0.81899999999999995</v>
      </c>
      <c r="J1029">
        <v>0.46100000000000002</v>
      </c>
      <c r="K1029" t="s">
        <v>2939</v>
      </c>
      <c r="L1029">
        <v>36</v>
      </c>
      <c r="M1029">
        <v>0.76200000000000001</v>
      </c>
      <c r="N1029">
        <v>119.003</v>
      </c>
      <c r="O1029">
        <v>0</v>
      </c>
      <c r="P1029">
        <v>1</v>
      </c>
      <c r="Q1029">
        <v>13</v>
      </c>
      <c r="R1029" t="s">
        <v>1090</v>
      </c>
      <c r="S1029" t="s">
        <v>2940</v>
      </c>
      <c r="T1029">
        <f>I1029*-0.5+M1029*0.5</f>
        <v>-2.849999999999997E-2</v>
      </c>
      <c r="U1029">
        <f>I1029*0.7+M1029*-0.25+D1029*-0.25</f>
        <v>0.36844999999999994</v>
      </c>
      <c r="V1029">
        <f>J1029*0.5+I1029*-0.5</f>
        <v>-0.17899999999999996</v>
      </c>
      <c r="W1029">
        <f>M1029*0.5+G1029*0.25+I1029*0.25</f>
        <v>0.75475000000000003</v>
      </c>
    </row>
    <row r="1030" spans="1:23" x14ac:dyDescent="0.2">
      <c r="A1030">
        <v>0.373</v>
      </c>
      <c r="B1030">
        <v>7</v>
      </c>
      <c r="C1030">
        <v>4</v>
      </c>
      <c r="D1030">
        <v>0.185</v>
      </c>
      <c r="E1030">
        <v>-9.1389999999999993</v>
      </c>
      <c r="F1030">
        <v>282093</v>
      </c>
      <c r="G1030">
        <v>0.78100000000000003</v>
      </c>
      <c r="H1030">
        <v>282</v>
      </c>
      <c r="I1030">
        <v>0.68200000000000005</v>
      </c>
      <c r="J1030">
        <v>4.47E-3</v>
      </c>
      <c r="K1030" t="s">
        <v>2290</v>
      </c>
      <c r="L1030">
        <v>20</v>
      </c>
      <c r="M1030">
        <v>0.625</v>
      </c>
      <c r="N1030">
        <v>83.024000000000001</v>
      </c>
      <c r="O1030">
        <v>0</v>
      </c>
      <c r="P1030">
        <v>1</v>
      </c>
      <c r="Q1030">
        <v>7</v>
      </c>
      <c r="R1030" t="s">
        <v>2291</v>
      </c>
      <c r="S1030" t="s">
        <v>2292</v>
      </c>
      <c r="T1030">
        <f>I1030*-0.5+M1030*0.5</f>
        <v>-2.8500000000000025E-2</v>
      </c>
      <c r="U1030">
        <f>I1030*0.7+M1030*-0.25+D1030*-0.25</f>
        <v>0.27489999999999998</v>
      </c>
      <c r="V1030">
        <f>J1030*0.5+I1030*-0.5</f>
        <v>-0.33876500000000004</v>
      </c>
      <c r="W1030">
        <f>M1030*0.5+G1030*0.25+I1030*0.25</f>
        <v>0.67825000000000002</v>
      </c>
    </row>
    <row r="1031" spans="1:23" x14ac:dyDescent="0.2">
      <c r="A1031">
        <v>0.14399999999999999</v>
      </c>
      <c r="B1031">
        <v>7</v>
      </c>
      <c r="C1031">
        <v>4</v>
      </c>
      <c r="D1031">
        <v>0.53600000000000003</v>
      </c>
      <c r="E1031">
        <v>-4.5789999999999997</v>
      </c>
      <c r="F1031">
        <v>176880</v>
      </c>
      <c r="G1031">
        <v>0.72899999999999998</v>
      </c>
      <c r="H1031">
        <v>176</v>
      </c>
      <c r="I1031">
        <v>0.85299999999999998</v>
      </c>
      <c r="J1031">
        <v>0.35399999999999998</v>
      </c>
      <c r="K1031" t="s">
        <v>2799</v>
      </c>
      <c r="L1031">
        <v>22</v>
      </c>
      <c r="M1031">
        <v>0.79500000000000004</v>
      </c>
      <c r="N1031">
        <v>146.74700000000001</v>
      </c>
      <c r="O1031">
        <v>0</v>
      </c>
      <c r="P1031">
        <v>1</v>
      </c>
      <c r="Q1031">
        <v>8</v>
      </c>
      <c r="R1031" t="s">
        <v>2800</v>
      </c>
      <c r="S1031" t="s">
        <v>2801</v>
      </c>
      <c r="T1031">
        <f>I1031*-0.5+M1031*0.5</f>
        <v>-2.899999999999997E-2</v>
      </c>
      <c r="U1031">
        <f>I1031*0.7+M1031*-0.25+D1031*-0.25</f>
        <v>0.26434999999999997</v>
      </c>
      <c r="V1031">
        <f>J1031*0.5+I1031*-0.5</f>
        <v>-0.2495</v>
      </c>
      <c r="W1031">
        <f>M1031*0.5+G1031*0.25+I1031*0.25</f>
        <v>0.79299999999999993</v>
      </c>
    </row>
    <row r="1032" spans="1:23" x14ac:dyDescent="0.2">
      <c r="A1032">
        <v>7.5200000000000003E-2</v>
      </c>
      <c r="B1032">
        <v>7</v>
      </c>
      <c r="C1032">
        <v>4</v>
      </c>
      <c r="D1032">
        <v>0.127</v>
      </c>
      <c r="E1032">
        <v>-3.5529999999999999</v>
      </c>
      <c r="F1032">
        <v>201600</v>
      </c>
      <c r="G1032">
        <v>0.70399999999999996</v>
      </c>
      <c r="H1032">
        <v>199</v>
      </c>
      <c r="I1032">
        <v>0.79100000000000004</v>
      </c>
      <c r="J1032">
        <v>9.5299999999999996E-2</v>
      </c>
      <c r="K1032" t="s">
        <v>2369</v>
      </c>
      <c r="L1032">
        <v>51</v>
      </c>
      <c r="M1032">
        <v>0.73199999999999998</v>
      </c>
      <c r="N1032">
        <v>120.995</v>
      </c>
      <c r="O1032">
        <v>0</v>
      </c>
      <c r="P1032">
        <v>1</v>
      </c>
      <c r="Q1032">
        <v>9</v>
      </c>
      <c r="R1032" t="s">
        <v>2370</v>
      </c>
      <c r="S1032" t="s">
        <v>2371</v>
      </c>
      <c r="T1032">
        <f>I1032*-0.5+M1032*0.5</f>
        <v>-2.9500000000000026E-2</v>
      </c>
      <c r="U1032">
        <f>I1032*0.7+M1032*-0.25+D1032*-0.25</f>
        <v>0.33894999999999997</v>
      </c>
      <c r="V1032">
        <f>J1032*0.5+I1032*-0.5</f>
        <v>-0.34784999999999999</v>
      </c>
      <c r="W1032">
        <f>M1032*0.5+G1032*0.25+I1032*0.25</f>
        <v>0.73975000000000002</v>
      </c>
    </row>
    <row r="1033" spans="1:23" x14ac:dyDescent="0.2">
      <c r="A1033">
        <v>2.5899999999999999E-2</v>
      </c>
      <c r="B1033">
        <v>10</v>
      </c>
      <c r="C1033">
        <v>4</v>
      </c>
      <c r="D1033">
        <v>0.10199999999999999</v>
      </c>
      <c r="E1033">
        <v>-5.6929999999999996</v>
      </c>
      <c r="F1033">
        <v>245067</v>
      </c>
      <c r="G1033">
        <v>0.745</v>
      </c>
      <c r="H1033">
        <v>237</v>
      </c>
      <c r="I1033">
        <v>0.80100000000000005</v>
      </c>
      <c r="J1033">
        <v>0.42</v>
      </c>
      <c r="K1033" t="s">
        <v>2899</v>
      </c>
      <c r="L1033">
        <v>3</v>
      </c>
      <c r="M1033">
        <v>0.74199999999999999</v>
      </c>
      <c r="N1033">
        <v>95.995999999999995</v>
      </c>
      <c r="O1033">
        <v>0</v>
      </c>
      <c r="P1033">
        <v>1</v>
      </c>
      <c r="Q1033">
        <v>5</v>
      </c>
      <c r="R1033" t="s">
        <v>623</v>
      </c>
      <c r="S1033" t="s">
        <v>2900</v>
      </c>
      <c r="T1033">
        <f>I1033*-0.5+M1033*0.5</f>
        <v>-2.9500000000000026E-2</v>
      </c>
      <c r="U1033">
        <f>I1033*0.7+M1033*-0.25+D1033*-0.25</f>
        <v>0.34969999999999996</v>
      </c>
      <c r="V1033">
        <f>J1033*0.5+I1033*-0.5</f>
        <v>-0.19050000000000003</v>
      </c>
      <c r="W1033">
        <f>M1033*0.5+G1033*0.25+I1033*0.25</f>
        <v>0.75750000000000006</v>
      </c>
    </row>
    <row r="1034" spans="1:23" x14ac:dyDescent="0.2">
      <c r="A1034">
        <v>2.69E-2</v>
      </c>
      <c r="B1034">
        <v>9</v>
      </c>
      <c r="C1034">
        <v>4</v>
      </c>
      <c r="D1034">
        <v>0.19600000000000001</v>
      </c>
      <c r="E1034">
        <v>-5.7149999999999999</v>
      </c>
      <c r="F1034">
        <v>212320</v>
      </c>
      <c r="G1034">
        <v>0.72099999999999997</v>
      </c>
      <c r="H1034">
        <v>221</v>
      </c>
      <c r="I1034">
        <v>0.878</v>
      </c>
      <c r="J1034">
        <v>0.41299999999999998</v>
      </c>
      <c r="K1034" t="s">
        <v>2865</v>
      </c>
      <c r="L1034">
        <v>44</v>
      </c>
      <c r="M1034">
        <v>0.81899999999999995</v>
      </c>
      <c r="N1034">
        <v>96.02</v>
      </c>
      <c r="O1034">
        <v>0</v>
      </c>
      <c r="P1034">
        <v>1</v>
      </c>
      <c r="Q1034">
        <v>16</v>
      </c>
      <c r="R1034" t="s">
        <v>2866</v>
      </c>
      <c r="S1034" t="s">
        <v>2867</v>
      </c>
      <c r="T1034">
        <f>I1034*-0.5+M1034*0.5</f>
        <v>-2.9500000000000026E-2</v>
      </c>
      <c r="U1034">
        <f>I1034*0.7+M1034*-0.25+D1034*-0.25</f>
        <v>0.36084999999999995</v>
      </c>
      <c r="V1034">
        <f>J1034*0.5+I1034*-0.5</f>
        <v>-0.23250000000000001</v>
      </c>
      <c r="W1034">
        <f>M1034*0.5+G1034*0.25+I1034*0.25</f>
        <v>0.80925000000000002</v>
      </c>
    </row>
    <row r="1035" spans="1:23" x14ac:dyDescent="0.2">
      <c r="A1035">
        <v>0.154</v>
      </c>
      <c r="B1035">
        <v>11</v>
      </c>
      <c r="C1035">
        <v>4</v>
      </c>
      <c r="D1035">
        <v>0.127</v>
      </c>
      <c r="E1035">
        <v>-6.6840000000000002</v>
      </c>
      <c r="F1035">
        <v>238427</v>
      </c>
      <c r="G1035">
        <v>0.70599999999999996</v>
      </c>
      <c r="H1035">
        <v>174</v>
      </c>
      <c r="I1035">
        <v>0.92</v>
      </c>
      <c r="J1035">
        <v>3.4099999999999998E-2</v>
      </c>
      <c r="K1035" t="s">
        <v>2042</v>
      </c>
      <c r="L1035">
        <v>8</v>
      </c>
      <c r="M1035">
        <v>0.86099999999999999</v>
      </c>
      <c r="N1035">
        <v>119.946</v>
      </c>
      <c r="O1035">
        <v>0</v>
      </c>
      <c r="P1035">
        <v>1</v>
      </c>
      <c r="Q1035">
        <v>2</v>
      </c>
      <c r="R1035" t="s">
        <v>1590</v>
      </c>
      <c r="S1035" t="s">
        <v>2043</v>
      </c>
      <c r="T1035">
        <f>I1035*-0.5+M1035*0.5</f>
        <v>-2.9500000000000026E-2</v>
      </c>
      <c r="U1035">
        <f>I1035*0.7+M1035*-0.25+D1035*-0.25</f>
        <v>0.39700000000000002</v>
      </c>
      <c r="V1035">
        <f>J1035*0.5+I1035*-0.5</f>
        <v>-0.44295000000000001</v>
      </c>
      <c r="W1035">
        <f>M1035*0.5+G1035*0.25+I1035*0.25</f>
        <v>0.83699999999999997</v>
      </c>
    </row>
    <row r="1036" spans="1:23" x14ac:dyDescent="0.2">
      <c r="A1036">
        <v>4.7500000000000001E-2</v>
      </c>
      <c r="B1036">
        <v>11</v>
      </c>
      <c r="C1036">
        <v>4</v>
      </c>
      <c r="D1036">
        <v>0.21199999999999999</v>
      </c>
      <c r="E1036">
        <v>-3.387</v>
      </c>
      <c r="F1036">
        <v>191667</v>
      </c>
      <c r="G1036">
        <v>0.80600000000000005</v>
      </c>
      <c r="H1036">
        <v>242</v>
      </c>
      <c r="I1036">
        <v>0.96299999999999997</v>
      </c>
      <c r="J1036">
        <v>1.2700000000000001E-3</v>
      </c>
      <c r="K1036" t="s">
        <v>1910</v>
      </c>
      <c r="L1036">
        <v>9</v>
      </c>
      <c r="M1036">
        <v>0.90200000000000002</v>
      </c>
      <c r="N1036">
        <v>128.94300000000001</v>
      </c>
      <c r="O1036">
        <v>0</v>
      </c>
      <c r="P1036">
        <v>0</v>
      </c>
      <c r="Q1036">
        <v>1</v>
      </c>
      <c r="R1036" t="s">
        <v>1911</v>
      </c>
      <c r="S1036" t="s">
        <v>1912</v>
      </c>
      <c r="T1036">
        <f>I1036*-0.5+M1036*0.5</f>
        <v>-3.0499999999999972E-2</v>
      </c>
      <c r="U1036">
        <f>I1036*0.7+M1036*-0.25+D1036*-0.25</f>
        <v>0.3955999999999999</v>
      </c>
      <c r="V1036">
        <f>J1036*0.5+I1036*-0.5</f>
        <v>-0.48086499999999999</v>
      </c>
      <c r="W1036">
        <f>M1036*0.5+G1036*0.25+I1036*0.25</f>
        <v>0.8932500000000001</v>
      </c>
    </row>
    <row r="1037" spans="1:23" x14ac:dyDescent="0.2">
      <c r="A1037">
        <v>0.26700000000000002</v>
      </c>
      <c r="B1037">
        <v>7</v>
      </c>
      <c r="C1037">
        <v>4</v>
      </c>
      <c r="D1037">
        <v>0.38800000000000001</v>
      </c>
      <c r="E1037">
        <v>-6.8449999999999998</v>
      </c>
      <c r="F1037">
        <v>210453</v>
      </c>
      <c r="G1037">
        <v>0.70499999999999996</v>
      </c>
      <c r="H1037">
        <v>209</v>
      </c>
      <c r="I1037">
        <v>0.86</v>
      </c>
      <c r="J1037">
        <v>7.0800000000000002E-2</v>
      </c>
      <c r="K1037" t="s">
        <v>2248</v>
      </c>
      <c r="L1037">
        <v>22</v>
      </c>
      <c r="M1037">
        <v>0.79600000000000004</v>
      </c>
      <c r="N1037">
        <v>166.042</v>
      </c>
      <c r="O1037">
        <v>0</v>
      </c>
      <c r="P1037">
        <v>1</v>
      </c>
      <c r="Q1037">
        <v>4</v>
      </c>
      <c r="R1037" t="s">
        <v>1459</v>
      </c>
      <c r="S1037" t="s">
        <v>2249</v>
      </c>
      <c r="T1037">
        <f>I1037*-0.5+M1037*0.5</f>
        <v>-3.1999999999999973E-2</v>
      </c>
      <c r="U1037">
        <f>I1037*0.7+M1037*-0.25+D1037*-0.25</f>
        <v>0.30599999999999994</v>
      </c>
      <c r="V1037">
        <f>J1037*0.5+I1037*-0.5</f>
        <v>-0.39460000000000001</v>
      </c>
      <c r="W1037">
        <f>M1037*0.5+G1037*0.25+I1037*0.25</f>
        <v>0.78925000000000001</v>
      </c>
    </row>
    <row r="1038" spans="1:23" x14ac:dyDescent="0.2">
      <c r="A1038">
        <v>2.5100000000000001E-2</v>
      </c>
      <c r="B1038">
        <v>2</v>
      </c>
      <c r="C1038">
        <v>4</v>
      </c>
      <c r="D1038">
        <v>0.106</v>
      </c>
      <c r="E1038">
        <v>-9.1590000000000007</v>
      </c>
      <c r="F1038">
        <v>173493</v>
      </c>
      <c r="G1038">
        <v>0.67</v>
      </c>
      <c r="H1038">
        <v>172</v>
      </c>
      <c r="I1038">
        <v>0.623</v>
      </c>
      <c r="J1038">
        <v>0.23799999999999999</v>
      </c>
      <c r="K1038" t="s">
        <v>2822</v>
      </c>
      <c r="L1038">
        <v>1</v>
      </c>
      <c r="M1038">
        <v>0.55800000000000005</v>
      </c>
      <c r="N1038">
        <v>80.510999999999996</v>
      </c>
      <c r="O1038">
        <v>0</v>
      </c>
      <c r="P1038">
        <v>1</v>
      </c>
      <c r="Q1038">
        <v>17</v>
      </c>
      <c r="R1038" t="s">
        <v>2823</v>
      </c>
      <c r="S1038" t="s">
        <v>2824</v>
      </c>
      <c r="T1038">
        <f>I1038*-0.5+M1038*0.5</f>
        <v>-3.2499999999999973E-2</v>
      </c>
      <c r="U1038">
        <f>I1038*0.7+M1038*-0.25+D1038*-0.25</f>
        <v>0.27009999999999995</v>
      </c>
      <c r="V1038">
        <f>J1038*0.5+I1038*-0.5</f>
        <v>-0.1925</v>
      </c>
      <c r="W1038">
        <f>M1038*0.5+G1038*0.25+I1038*0.25</f>
        <v>0.60224999999999995</v>
      </c>
    </row>
    <row r="1039" spans="1:23" x14ac:dyDescent="0.2">
      <c r="A1039">
        <v>4.7899999999999998E-2</v>
      </c>
      <c r="B1039">
        <v>7</v>
      </c>
      <c r="C1039">
        <v>4</v>
      </c>
      <c r="D1039">
        <v>0.247</v>
      </c>
      <c r="E1039">
        <v>-6.625</v>
      </c>
      <c r="F1039">
        <v>291782</v>
      </c>
      <c r="G1039">
        <v>0.85399999999999998</v>
      </c>
      <c r="H1039">
        <v>253</v>
      </c>
      <c r="I1039">
        <v>0.75800000000000001</v>
      </c>
      <c r="J1039">
        <v>6.6799999999999998E-2</v>
      </c>
      <c r="K1039" t="s">
        <v>2363</v>
      </c>
      <c r="L1039">
        <v>7</v>
      </c>
      <c r="M1039">
        <v>0.69199999999999995</v>
      </c>
      <c r="N1039">
        <v>101.86499999999999</v>
      </c>
      <c r="O1039">
        <v>0</v>
      </c>
      <c r="P1039">
        <v>1</v>
      </c>
      <c r="Q1039">
        <v>8</v>
      </c>
      <c r="R1039" t="s">
        <v>2364</v>
      </c>
      <c r="S1039" t="s">
        <v>2365</v>
      </c>
      <c r="T1039">
        <f>I1039*-0.5+M1039*0.5</f>
        <v>-3.3000000000000029E-2</v>
      </c>
      <c r="U1039">
        <f>I1039*0.7+M1039*-0.25+D1039*-0.25</f>
        <v>0.29584999999999995</v>
      </c>
      <c r="V1039">
        <f>J1039*0.5+I1039*-0.5</f>
        <v>-0.34560000000000002</v>
      </c>
      <c r="W1039">
        <f>M1039*0.5+G1039*0.25+I1039*0.25</f>
        <v>0.749</v>
      </c>
    </row>
    <row r="1040" spans="1:23" x14ac:dyDescent="0.2">
      <c r="A1040">
        <v>3.2199999999999999E-2</v>
      </c>
      <c r="B1040">
        <v>8</v>
      </c>
      <c r="C1040">
        <v>4</v>
      </c>
      <c r="D1040">
        <v>0.13200000000000001</v>
      </c>
      <c r="E1040">
        <v>-7.0640000000000001</v>
      </c>
      <c r="F1040">
        <v>269560</v>
      </c>
      <c r="G1040">
        <v>0.42199999999999999</v>
      </c>
      <c r="H1040">
        <v>269</v>
      </c>
      <c r="I1040">
        <v>0.33100000000000002</v>
      </c>
      <c r="J1040">
        <v>0.92200000000000004</v>
      </c>
      <c r="K1040" t="s">
        <v>3145</v>
      </c>
      <c r="L1040">
        <v>50</v>
      </c>
      <c r="M1040">
        <v>0.26400000000000001</v>
      </c>
      <c r="N1040">
        <v>119.93</v>
      </c>
      <c r="O1040">
        <v>0</v>
      </c>
      <c r="P1040">
        <v>1</v>
      </c>
      <c r="Q1040">
        <v>14</v>
      </c>
      <c r="R1040" t="s">
        <v>1496</v>
      </c>
      <c r="S1040" t="s">
        <v>3146</v>
      </c>
      <c r="T1040">
        <f>I1040*-0.5+M1040*0.5</f>
        <v>-3.3500000000000002E-2</v>
      </c>
      <c r="U1040">
        <f>I1040*0.7+M1040*-0.25+D1040*-0.25</f>
        <v>0.13269999999999998</v>
      </c>
      <c r="V1040">
        <f>J1040*0.5+I1040*-0.5</f>
        <v>0.29549999999999998</v>
      </c>
      <c r="W1040">
        <f>M1040*0.5+G1040*0.25+I1040*0.25</f>
        <v>0.32024999999999998</v>
      </c>
    </row>
    <row r="1041" spans="1:23" x14ac:dyDescent="0.2">
      <c r="A1041">
        <v>0.17699999999999999</v>
      </c>
      <c r="B1041">
        <v>6</v>
      </c>
      <c r="C1041">
        <v>4</v>
      </c>
      <c r="D1041">
        <v>0.61299999999999999</v>
      </c>
      <c r="E1041">
        <v>-6.6790000000000003</v>
      </c>
      <c r="F1041">
        <v>222640</v>
      </c>
      <c r="G1041">
        <v>0.81799999999999995</v>
      </c>
      <c r="H1041">
        <v>207</v>
      </c>
      <c r="I1041">
        <v>0.77200000000000002</v>
      </c>
      <c r="J1041">
        <v>8.3599999999999994E-3</v>
      </c>
      <c r="K1041" t="s">
        <v>2216</v>
      </c>
      <c r="L1041">
        <v>19</v>
      </c>
      <c r="M1041">
        <v>0.70499999999999996</v>
      </c>
      <c r="N1041">
        <v>138.559</v>
      </c>
      <c r="O1041">
        <v>2.33E-3</v>
      </c>
      <c r="P1041">
        <v>1</v>
      </c>
      <c r="Q1041">
        <v>20</v>
      </c>
      <c r="R1041" t="s">
        <v>2217</v>
      </c>
      <c r="S1041" t="s">
        <v>2218</v>
      </c>
      <c r="T1041">
        <f>I1041*-0.5+M1041*0.5</f>
        <v>-3.350000000000003E-2</v>
      </c>
      <c r="U1041">
        <f>I1041*0.7+M1041*-0.25+D1041*-0.25</f>
        <v>0.21089999999999998</v>
      </c>
      <c r="V1041">
        <f>J1041*0.5+I1041*-0.5</f>
        <v>-0.38181999999999999</v>
      </c>
      <c r="W1041">
        <f>M1041*0.5+G1041*0.25+I1041*0.25</f>
        <v>0.75</v>
      </c>
    </row>
    <row r="1042" spans="1:23" x14ac:dyDescent="0.2">
      <c r="A1042">
        <v>4.7E-2</v>
      </c>
      <c r="B1042">
        <v>8</v>
      </c>
      <c r="C1042">
        <v>4</v>
      </c>
      <c r="D1042">
        <v>0.30299999999999999</v>
      </c>
      <c r="E1042">
        <v>-8.3209999999999997</v>
      </c>
      <c r="F1042">
        <v>225627</v>
      </c>
      <c r="G1042">
        <v>0.64900000000000002</v>
      </c>
      <c r="H1042">
        <v>222</v>
      </c>
      <c r="I1042">
        <v>0.57199999999999995</v>
      </c>
      <c r="J1042">
        <v>9.3899999999999997E-2</v>
      </c>
      <c r="K1042" t="s">
        <v>2626</v>
      </c>
      <c r="L1042">
        <v>18</v>
      </c>
      <c r="M1042">
        <v>0.503</v>
      </c>
      <c r="N1042">
        <v>75.037000000000006</v>
      </c>
      <c r="O1042">
        <v>0</v>
      </c>
      <c r="P1042">
        <v>1</v>
      </c>
      <c r="Q1042">
        <v>10</v>
      </c>
      <c r="R1042" t="s">
        <v>2627</v>
      </c>
      <c r="S1042" t="s">
        <v>2628</v>
      </c>
      <c r="T1042">
        <f>I1042*-0.5+M1042*0.5</f>
        <v>-3.4499999999999975E-2</v>
      </c>
      <c r="U1042">
        <f>I1042*0.7+M1042*-0.25+D1042*-0.25</f>
        <v>0.19889999999999997</v>
      </c>
      <c r="V1042">
        <f>J1042*0.5+I1042*-0.5</f>
        <v>-0.23904999999999998</v>
      </c>
      <c r="W1042">
        <f>M1042*0.5+G1042*0.25+I1042*0.25</f>
        <v>0.55674999999999997</v>
      </c>
    </row>
    <row r="1043" spans="1:23" x14ac:dyDescent="0.2">
      <c r="A1043">
        <v>0.25900000000000001</v>
      </c>
      <c r="B1043">
        <v>10</v>
      </c>
      <c r="C1043">
        <v>4</v>
      </c>
      <c r="D1043">
        <v>5.33E-2</v>
      </c>
      <c r="E1043">
        <v>-5.2030000000000003</v>
      </c>
      <c r="F1043">
        <v>213373</v>
      </c>
      <c r="G1043">
        <v>0.875</v>
      </c>
      <c r="H1043">
        <v>213</v>
      </c>
      <c r="I1043">
        <v>0.81299999999999994</v>
      </c>
      <c r="J1043">
        <v>2.06E-2</v>
      </c>
      <c r="K1043" t="s">
        <v>2189</v>
      </c>
      <c r="L1043">
        <v>24</v>
      </c>
      <c r="M1043">
        <v>0.74399999999999999</v>
      </c>
      <c r="N1043">
        <v>134.012</v>
      </c>
      <c r="O1043">
        <v>0</v>
      </c>
      <c r="P1043">
        <v>0</v>
      </c>
      <c r="Q1043">
        <v>2</v>
      </c>
      <c r="R1043" t="s">
        <v>2190</v>
      </c>
      <c r="S1043" t="s">
        <v>2191</v>
      </c>
      <c r="T1043">
        <f>I1043*-0.5+M1043*0.5</f>
        <v>-3.4499999999999975E-2</v>
      </c>
      <c r="U1043">
        <f>I1043*0.7+M1043*-0.25+D1043*-0.25</f>
        <v>0.36977499999999996</v>
      </c>
      <c r="V1043">
        <f>J1043*0.5+I1043*-0.5</f>
        <v>-0.3962</v>
      </c>
      <c r="W1043">
        <f>M1043*0.5+G1043*0.25+I1043*0.25</f>
        <v>0.79400000000000004</v>
      </c>
    </row>
    <row r="1044" spans="1:23" x14ac:dyDescent="0.2">
      <c r="A1044">
        <v>0.127</v>
      </c>
      <c r="B1044">
        <v>2</v>
      </c>
      <c r="C1044">
        <v>4</v>
      </c>
      <c r="D1044">
        <v>0.11</v>
      </c>
      <c r="E1044">
        <v>-7.6529999999999996</v>
      </c>
      <c r="F1044">
        <v>228453</v>
      </c>
      <c r="G1044">
        <v>0.69699999999999995</v>
      </c>
      <c r="H1044">
        <v>227</v>
      </c>
      <c r="I1044">
        <v>0.64600000000000002</v>
      </c>
      <c r="J1044">
        <v>4.36E-2</v>
      </c>
      <c r="K1044" t="s">
        <v>2465</v>
      </c>
      <c r="L1044">
        <v>38</v>
      </c>
      <c r="M1044">
        <v>0.57699999999999996</v>
      </c>
      <c r="N1044">
        <v>160.035</v>
      </c>
      <c r="O1044">
        <v>0</v>
      </c>
      <c r="P1044">
        <v>1</v>
      </c>
      <c r="Q1044">
        <v>11</v>
      </c>
      <c r="R1044" t="s">
        <v>2466</v>
      </c>
      <c r="S1044" t="s">
        <v>2467</v>
      </c>
      <c r="T1044">
        <f>I1044*-0.5+M1044*0.5</f>
        <v>-3.4500000000000031E-2</v>
      </c>
      <c r="U1044">
        <f>I1044*0.7+M1044*-0.25+D1044*-0.25</f>
        <v>0.28044999999999998</v>
      </c>
      <c r="V1044">
        <f>J1044*0.5+I1044*-0.5</f>
        <v>-0.30120000000000002</v>
      </c>
      <c r="W1044">
        <f>M1044*0.5+G1044*0.25+I1044*0.25</f>
        <v>0.62424999999999997</v>
      </c>
    </row>
    <row r="1045" spans="1:23" x14ac:dyDescent="0.2">
      <c r="A1045">
        <v>3.1E-2</v>
      </c>
      <c r="B1045">
        <v>8</v>
      </c>
      <c r="C1045">
        <v>4</v>
      </c>
      <c r="D1045">
        <v>0.34799999999999998</v>
      </c>
      <c r="E1045">
        <v>-3.3889999999999998</v>
      </c>
      <c r="F1045">
        <v>179334</v>
      </c>
      <c r="G1045">
        <v>0.65</v>
      </c>
      <c r="H1045">
        <v>178</v>
      </c>
      <c r="I1045">
        <v>0.88900000000000001</v>
      </c>
      <c r="J1045">
        <v>2.6599999999999999E-2</v>
      </c>
      <c r="K1045" t="s">
        <v>2113</v>
      </c>
      <c r="L1045">
        <v>44</v>
      </c>
      <c r="M1045">
        <v>0.81899999999999995</v>
      </c>
      <c r="N1045">
        <v>95.957999999999998</v>
      </c>
      <c r="O1045">
        <v>0</v>
      </c>
      <c r="P1045">
        <v>1</v>
      </c>
      <c r="Q1045">
        <v>18</v>
      </c>
      <c r="R1045" t="s">
        <v>2114</v>
      </c>
      <c r="S1045" t="s">
        <v>2115</v>
      </c>
      <c r="T1045">
        <f>I1045*-0.5+M1045*0.5</f>
        <v>-3.5000000000000031E-2</v>
      </c>
      <c r="U1045">
        <f>I1045*0.7+M1045*-0.25+D1045*-0.25</f>
        <v>0.33055000000000001</v>
      </c>
      <c r="V1045">
        <f>J1045*0.5+I1045*-0.5</f>
        <v>-0.43120000000000003</v>
      </c>
      <c r="W1045">
        <f>M1045*0.5+G1045*0.25+I1045*0.25</f>
        <v>0.7942499999999999</v>
      </c>
    </row>
    <row r="1046" spans="1:23" x14ac:dyDescent="0.2">
      <c r="A1046">
        <v>0.21199999999999999</v>
      </c>
      <c r="B1046">
        <v>1</v>
      </c>
      <c r="C1046">
        <v>3</v>
      </c>
      <c r="D1046">
        <v>7.6200000000000004E-2</v>
      </c>
      <c r="E1046">
        <v>-5.14</v>
      </c>
      <c r="F1046">
        <v>251160</v>
      </c>
      <c r="G1046">
        <v>0.76900000000000002</v>
      </c>
      <c r="H1046">
        <v>250</v>
      </c>
      <c r="I1046">
        <v>0.59199999999999997</v>
      </c>
      <c r="J1046">
        <v>2.1899999999999999E-2</v>
      </c>
      <c r="K1046" t="s">
        <v>2474</v>
      </c>
      <c r="L1046">
        <v>27</v>
      </c>
      <c r="M1046">
        <v>0.52</v>
      </c>
      <c r="N1046">
        <v>140.11199999999999</v>
      </c>
      <c r="O1046">
        <v>0</v>
      </c>
      <c r="P1046">
        <v>1</v>
      </c>
      <c r="Q1046">
        <v>8</v>
      </c>
      <c r="R1046" t="s">
        <v>2475</v>
      </c>
      <c r="S1046" t="s">
        <v>2476</v>
      </c>
      <c r="T1046">
        <f>I1046*-0.5+M1046*0.5</f>
        <v>-3.5999999999999976E-2</v>
      </c>
      <c r="U1046">
        <f>I1046*0.7+M1046*-0.25+D1046*-0.25</f>
        <v>0.26534999999999992</v>
      </c>
      <c r="V1046">
        <f>J1046*0.5+I1046*-0.5</f>
        <v>-0.28504999999999997</v>
      </c>
      <c r="W1046">
        <f>M1046*0.5+G1046*0.25+I1046*0.25</f>
        <v>0.60025000000000006</v>
      </c>
    </row>
    <row r="1047" spans="1:23" x14ac:dyDescent="0.2">
      <c r="A1047">
        <v>8.0299999999999996E-2</v>
      </c>
      <c r="B1047">
        <v>1</v>
      </c>
      <c r="C1047">
        <v>4</v>
      </c>
      <c r="D1047">
        <v>0.13700000000000001</v>
      </c>
      <c r="E1047">
        <v>-9.0920000000000005</v>
      </c>
      <c r="F1047">
        <v>301133</v>
      </c>
      <c r="G1047">
        <v>0.75</v>
      </c>
      <c r="H1047">
        <v>301</v>
      </c>
      <c r="I1047">
        <v>0.53</v>
      </c>
      <c r="J1047">
        <v>0.22600000000000001</v>
      </c>
      <c r="K1047" t="s">
        <v>2870</v>
      </c>
      <c r="L1047">
        <v>15</v>
      </c>
      <c r="M1047">
        <v>0.45800000000000002</v>
      </c>
      <c r="N1047">
        <v>83.61</v>
      </c>
      <c r="O1047" s="1">
        <v>3.2499999999999997E-5</v>
      </c>
      <c r="P1047">
        <v>1</v>
      </c>
      <c r="Q1047">
        <v>9</v>
      </c>
      <c r="R1047" t="s">
        <v>1459</v>
      </c>
      <c r="S1047" t="s">
        <v>2871</v>
      </c>
      <c r="T1047">
        <f>I1047*-0.5+M1047*0.5</f>
        <v>-3.6000000000000004E-2</v>
      </c>
      <c r="U1047">
        <f>I1047*0.7+M1047*-0.25+D1047*-0.25</f>
        <v>0.22225</v>
      </c>
      <c r="V1047">
        <f>J1047*0.5+I1047*-0.5</f>
        <v>-0.15200000000000002</v>
      </c>
      <c r="W1047">
        <f>M1047*0.5+G1047*0.25+I1047*0.25</f>
        <v>0.54899999999999993</v>
      </c>
    </row>
    <row r="1048" spans="1:23" x14ac:dyDescent="0.2">
      <c r="A1048">
        <v>0.22500000000000001</v>
      </c>
      <c r="B1048">
        <v>7</v>
      </c>
      <c r="C1048">
        <v>4</v>
      </c>
      <c r="D1048">
        <v>0.16900000000000001</v>
      </c>
      <c r="E1048">
        <v>-8.66</v>
      </c>
      <c r="F1048">
        <v>267507</v>
      </c>
      <c r="G1048">
        <v>0.76300000000000001</v>
      </c>
      <c r="H1048">
        <v>267</v>
      </c>
      <c r="I1048">
        <v>0.70199999999999996</v>
      </c>
      <c r="J1048">
        <v>8.9099999999999999E-2</v>
      </c>
      <c r="K1048" t="s">
        <v>2505</v>
      </c>
      <c r="L1048">
        <v>24</v>
      </c>
      <c r="M1048">
        <v>0.629</v>
      </c>
      <c r="N1048">
        <v>142.149</v>
      </c>
      <c r="O1048">
        <v>0</v>
      </c>
      <c r="P1048">
        <v>0</v>
      </c>
      <c r="Q1048">
        <v>7</v>
      </c>
      <c r="R1048" t="s">
        <v>2506</v>
      </c>
      <c r="S1048" t="s">
        <v>2507</v>
      </c>
      <c r="T1048">
        <f>I1048*-0.5+M1048*0.5</f>
        <v>-3.6499999999999977E-2</v>
      </c>
      <c r="U1048">
        <f>I1048*0.7+M1048*-0.25+D1048*-0.25</f>
        <v>0.29189999999999994</v>
      </c>
      <c r="V1048">
        <f>J1048*0.5+I1048*-0.5</f>
        <v>-0.30645</v>
      </c>
      <c r="W1048">
        <f>M1048*0.5+G1048*0.25+I1048*0.25</f>
        <v>0.68074999999999997</v>
      </c>
    </row>
    <row r="1049" spans="1:23" x14ac:dyDescent="0.2">
      <c r="A1049">
        <v>3.0599999999999999E-2</v>
      </c>
      <c r="B1049">
        <v>8</v>
      </c>
      <c r="C1049">
        <v>4</v>
      </c>
      <c r="D1049">
        <v>0.158</v>
      </c>
      <c r="E1049">
        <v>-5.4649999999999999</v>
      </c>
      <c r="F1049">
        <v>247520</v>
      </c>
      <c r="G1049">
        <v>0.72499999999999998</v>
      </c>
      <c r="H1049">
        <v>243</v>
      </c>
      <c r="I1049">
        <v>0.753</v>
      </c>
      <c r="J1049">
        <v>0.16200000000000001</v>
      </c>
      <c r="K1049" t="s">
        <v>2581</v>
      </c>
      <c r="L1049">
        <v>52</v>
      </c>
      <c r="M1049">
        <v>0.68</v>
      </c>
      <c r="N1049">
        <v>119.93899999999999</v>
      </c>
      <c r="O1049" s="1">
        <v>2.1299999999999999E-6</v>
      </c>
      <c r="P1049">
        <v>1</v>
      </c>
      <c r="Q1049">
        <v>12</v>
      </c>
      <c r="R1049" t="s">
        <v>2582</v>
      </c>
      <c r="S1049" t="s">
        <v>2583</v>
      </c>
      <c r="T1049">
        <f>I1049*-0.5+M1049*0.5</f>
        <v>-3.6499999999999977E-2</v>
      </c>
      <c r="U1049">
        <f>I1049*0.7+M1049*-0.25+D1049*-0.25</f>
        <v>0.31759999999999999</v>
      </c>
      <c r="V1049">
        <f>J1049*0.5+I1049*-0.5</f>
        <v>-0.29549999999999998</v>
      </c>
      <c r="W1049">
        <f>M1049*0.5+G1049*0.25+I1049*0.25</f>
        <v>0.70950000000000002</v>
      </c>
    </row>
    <row r="1050" spans="1:23" x14ac:dyDescent="0.2">
      <c r="A1050">
        <v>3.7199999999999997E-2</v>
      </c>
      <c r="B1050">
        <v>11</v>
      </c>
      <c r="C1050">
        <v>4</v>
      </c>
      <c r="D1050">
        <v>0.29799999999999999</v>
      </c>
      <c r="E1050">
        <v>-5.8520000000000003</v>
      </c>
      <c r="F1050">
        <v>245000</v>
      </c>
      <c r="G1050">
        <v>0.76</v>
      </c>
      <c r="H1050">
        <v>211</v>
      </c>
      <c r="I1050">
        <v>0.96399999999999997</v>
      </c>
      <c r="J1050">
        <v>2.2599999999999999E-2</v>
      </c>
      <c r="K1050" t="s">
        <v>2011</v>
      </c>
      <c r="L1050">
        <v>21</v>
      </c>
      <c r="M1050">
        <v>0.89100000000000001</v>
      </c>
      <c r="N1050">
        <v>120.265</v>
      </c>
      <c r="O1050">
        <v>8.6800000000000002E-2</v>
      </c>
      <c r="P1050">
        <v>0</v>
      </c>
      <c r="Q1050">
        <v>18</v>
      </c>
      <c r="R1050" t="s">
        <v>1512</v>
      </c>
      <c r="S1050" t="s">
        <v>2012</v>
      </c>
      <c r="T1050">
        <f>I1050*-0.5+M1050*0.5</f>
        <v>-3.6499999999999977E-2</v>
      </c>
      <c r="U1050">
        <f>I1050*0.7+M1050*-0.25+D1050*-0.25</f>
        <v>0.37754999999999994</v>
      </c>
      <c r="V1050">
        <f>J1050*0.5+I1050*-0.5</f>
        <v>-0.47070000000000001</v>
      </c>
      <c r="W1050">
        <f>M1050*0.5+G1050*0.25+I1050*0.25</f>
        <v>0.87649999999999995</v>
      </c>
    </row>
    <row r="1051" spans="1:23" x14ac:dyDescent="0.2">
      <c r="A1051">
        <v>2.7900000000000001E-2</v>
      </c>
      <c r="B1051">
        <v>0</v>
      </c>
      <c r="C1051">
        <v>4</v>
      </c>
      <c r="D1051">
        <v>0.90400000000000003</v>
      </c>
      <c r="E1051">
        <v>-4.8710000000000004</v>
      </c>
      <c r="F1051">
        <v>196760</v>
      </c>
      <c r="G1051">
        <v>0.65600000000000003</v>
      </c>
      <c r="H1051">
        <v>196</v>
      </c>
      <c r="I1051">
        <v>0.79</v>
      </c>
      <c r="J1051">
        <v>1.2699999999999999E-2</v>
      </c>
      <c r="K1051" t="s">
        <v>2224</v>
      </c>
      <c r="L1051">
        <v>17</v>
      </c>
      <c r="M1051">
        <v>0.71699999999999997</v>
      </c>
      <c r="N1051">
        <v>123.988</v>
      </c>
      <c r="O1051" s="1">
        <v>1.22E-5</v>
      </c>
      <c r="P1051">
        <v>1</v>
      </c>
      <c r="Q1051">
        <v>19</v>
      </c>
      <c r="R1051" t="s">
        <v>1712</v>
      </c>
      <c r="S1051" t="s">
        <v>2225</v>
      </c>
      <c r="T1051">
        <f>I1051*-0.5+M1051*0.5</f>
        <v>-3.6500000000000032E-2</v>
      </c>
      <c r="U1051">
        <f>I1051*0.7+M1051*-0.25+D1051*-0.25</f>
        <v>0.14774999999999991</v>
      </c>
      <c r="V1051">
        <f>J1051*0.5+I1051*-0.5</f>
        <v>-0.38865</v>
      </c>
      <c r="W1051">
        <f>M1051*0.5+G1051*0.25+I1051*0.25</f>
        <v>0.72</v>
      </c>
    </row>
    <row r="1052" spans="1:23" x14ac:dyDescent="0.2">
      <c r="A1052">
        <v>3.4799999999999998E-2</v>
      </c>
      <c r="B1052">
        <v>2</v>
      </c>
      <c r="C1052">
        <v>4</v>
      </c>
      <c r="D1052">
        <v>8.0399999999999999E-2</v>
      </c>
      <c r="E1052">
        <v>-3.5059999999999998</v>
      </c>
      <c r="F1052">
        <v>231187</v>
      </c>
      <c r="G1052">
        <v>0.70899999999999996</v>
      </c>
      <c r="H1052">
        <v>232</v>
      </c>
      <c r="I1052">
        <v>0.629</v>
      </c>
      <c r="J1052">
        <v>2.6899999999999998E-4</v>
      </c>
      <c r="K1052" t="s">
        <v>2404</v>
      </c>
      <c r="L1052">
        <v>20</v>
      </c>
      <c r="M1052">
        <v>0.55500000000000005</v>
      </c>
      <c r="N1052">
        <v>106</v>
      </c>
      <c r="O1052">
        <v>0</v>
      </c>
      <c r="P1052">
        <v>1</v>
      </c>
      <c r="Q1052">
        <v>13</v>
      </c>
      <c r="R1052" t="s">
        <v>1005</v>
      </c>
      <c r="S1052" t="s">
        <v>2405</v>
      </c>
      <c r="T1052">
        <f>I1052*-0.5+M1052*0.5</f>
        <v>-3.6999999999999977E-2</v>
      </c>
      <c r="U1052">
        <f>I1052*0.7+M1052*-0.25+D1052*-0.25</f>
        <v>0.28144999999999998</v>
      </c>
      <c r="V1052">
        <f>J1052*0.5+I1052*-0.5</f>
        <v>-0.31436550000000002</v>
      </c>
      <c r="W1052">
        <f>M1052*0.5+G1052*0.25+I1052*0.25</f>
        <v>0.61199999999999999</v>
      </c>
    </row>
    <row r="1053" spans="1:23" x14ac:dyDescent="0.2">
      <c r="A1053">
        <v>0.159</v>
      </c>
      <c r="B1053">
        <v>9</v>
      </c>
      <c r="C1053">
        <v>4</v>
      </c>
      <c r="D1053">
        <v>0.13100000000000001</v>
      </c>
      <c r="E1053">
        <v>-6.02</v>
      </c>
      <c r="F1053">
        <v>237120</v>
      </c>
      <c r="G1053">
        <v>0.82</v>
      </c>
      <c r="H1053">
        <v>182</v>
      </c>
      <c r="I1053">
        <v>0.80500000000000005</v>
      </c>
      <c r="J1053">
        <v>1.3299999999999999E-2</v>
      </c>
      <c r="K1053" t="s">
        <v>2206</v>
      </c>
      <c r="L1053">
        <v>31</v>
      </c>
      <c r="M1053">
        <v>0.73099999999999998</v>
      </c>
      <c r="N1053">
        <v>127.07599999999999</v>
      </c>
      <c r="O1053" s="1">
        <v>1.9400000000000001E-5</v>
      </c>
      <c r="P1053">
        <v>1</v>
      </c>
      <c r="Q1053">
        <v>4</v>
      </c>
      <c r="R1053" t="s">
        <v>1108</v>
      </c>
      <c r="S1053" t="s">
        <v>2207</v>
      </c>
      <c r="T1053">
        <f>I1053*-0.5+M1053*0.5</f>
        <v>-3.7000000000000033E-2</v>
      </c>
      <c r="U1053">
        <f>I1053*0.7+M1053*-0.25+D1053*-0.25</f>
        <v>0.34800000000000003</v>
      </c>
      <c r="V1053">
        <f>J1053*0.5+I1053*-0.5</f>
        <v>-0.39585000000000004</v>
      </c>
      <c r="W1053">
        <f>M1053*0.5+G1053*0.25+I1053*0.25</f>
        <v>0.77175000000000005</v>
      </c>
    </row>
    <row r="1054" spans="1:23" x14ac:dyDescent="0.2">
      <c r="A1054">
        <v>4.0500000000000001E-2</v>
      </c>
      <c r="B1054">
        <v>0</v>
      </c>
      <c r="C1054">
        <v>4</v>
      </c>
      <c r="D1054">
        <v>0.19400000000000001</v>
      </c>
      <c r="E1054">
        <v>-6.2649999999999997</v>
      </c>
      <c r="F1054">
        <v>280707</v>
      </c>
      <c r="G1054">
        <v>0.74199999999999999</v>
      </c>
      <c r="H1054">
        <v>246</v>
      </c>
      <c r="I1054">
        <v>0.59</v>
      </c>
      <c r="J1054">
        <v>8.1000000000000003E-2</v>
      </c>
      <c r="K1054" t="s">
        <v>2596</v>
      </c>
      <c r="L1054">
        <v>18</v>
      </c>
      <c r="M1054">
        <v>0.51500000000000001</v>
      </c>
      <c r="N1054">
        <v>120.086</v>
      </c>
      <c r="O1054">
        <v>0</v>
      </c>
      <c r="P1054">
        <v>1</v>
      </c>
      <c r="Q1054">
        <v>11</v>
      </c>
      <c r="R1054" t="s">
        <v>2597</v>
      </c>
      <c r="S1054" t="s">
        <v>2598</v>
      </c>
      <c r="T1054">
        <f>I1054*-0.5+M1054*0.5</f>
        <v>-3.7499999999999978E-2</v>
      </c>
      <c r="U1054">
        <f>I1054*0.7+M1054*-0.25+D1054*-0.25</f>
        <v>0.23575000000000002</v>
      </c>
      <c r="V1054">
        <f>J1054*0.5+I1054*-0.5</f>
        <v>-0.2545</v>
      </c>
      <c r="W1054">
        <f>M1054*0.5+G1054*0.25+I1054*0.25</f>
        <v>0.59050000000000002</v>
      </c>
    </row>
    <row r="1055" spans="1:23" x14ac:dyDescent="0.2">
      <c r="A1055">
        <v>0.15</v>
      </c>
      <c r="B1055">
        <v>1</v>
      </c>
      <c r="C1055">
        <v>4</v>
      </c>
      <c r="D1055">
        <v>0.16300000000000001</v>
      </c>
      <c r="E1055">
        <v>-6.3689999999999998</v>
      </c>
      <c r="F1055">
        <v>284240</v>
      </c>
      <c r="G1055">
        <v>0.63500000000000001</v>
      </c>
      <c r="H1055">
        <v>284</v>
      </c>
      <c r="I1055">
        <v>0.91600000000000004</v>
      </c>
      <c r="J1055">
        <v>0.26300000000000001</v>
      </c>
      <c r="K1055" t="s">
        <v>2634</v>
      </c>
      <c r="L1055">
        <v>4</v>
      </c>
      <c r="M1055">
        <v>0.84099999999999997</v>
      </c>
      <c r="N1055">
        <v>93.051000000000002</v>
      </c>
      <c r="O1055">
        <v>0</v>
      </c>
      <c r="P1055">
        <v>0</v>
      </c>
      <c r="Q1055">
        <v>10</v>
      </c>
      <c r="R1055" t="s">
        <v>328</v>
      </c>
      <c r="S1055" t="s">
        <v>2635</v>
      </c>
      <c r="T1055">
        <f>I1055*-0.5+M1055*0.5</f>
        <v>-3.7500000000000033E-2</v>
      </c>
      <c r="U1055">
        <f>I1055*0.7+M1055*-0.25+D1055*-0.25</f>
        <v>0.39019999999999999</v>
      </c>
      <c r="V1055">
        <f>J1055*0.5+I1055*-0.5</f>
        <v>-0.32650000000000001</v>
      </c>
      <c r="W1055">
        <f>M1055*0.5+G1055*0.25+I1055*0.25</f>
        <v>0.80825000000000002</v>
      </c>
    </row>
    <row r="1056" spans="1:23" x14ac:dyDescent="0.2">
      <c r="A1056">
        <v>3.4700000000000002E-2</v>
      </c>
      <c r="B1056">
        <v>10</v>
      </c>
      <c r="C1056">
        <v>4</v>
      </c>
      <c r="D1056">
        <v>0.107</v>
      </c>
      <c r="E1056">
        <v>-4.7229999999999999</v>
      </c>
      <c r="F1056">
        <v>165947</v>
      </c>
      <c r="G1056">
        <v>0.80400000000000005</v>
      </c>
      <c r="H1056">
        <v>164</v>
      </c>
      <c r="I1056">
        <v>0.90800000000000003</v>
      </c>
      <c r="J1056">
        <v>1.4800000000000001E-2</v>
      </c>
      <c r="K1056" t="s">
        <v>2079</v>
      </c>
      <c r="L1056">
        <v>18</v>
      </c>
      <c r="M1056">
        <v>0.83199999999999996</v>
      </c>
      <c r="N1056">
        <v>111.023</v>
      </c>
      <c r="O1056">
        <v>0</v>
      </c>
      <c r="P1056">
        <v>0</v>
      </c>
      <c r="Q1056">
        <v>17</v>
      </c>
      <c r="R1056" t="s">
        <v>23</v>
      </c>
      <c r="S1056" t="s">
        <v>2080</v>
      </c>
      <c r="T1056">
        <f>I1056*-0.5+M1056*0.5</f>
        <v>-3.8000000000000034E-2</v>
      </c>
      <c r="U1056">
        <f>I1056*0.7+M1056*-0.25+D1056*-0.25</f>
        <v>0.40084999999999998</v>
      </c>
      <c r="V1056">
        <f>J1056*0.5+I1056*-0.5</f>
        <v>-0.4466</v>
      </c>
      <c r="W1056">
        <f>M1056*0.5+G1056*0.25+I1056*0.25</f>
        <v>0.84399999999999997</v>
      </c>
    </row>
    <row r="1057" spans="1:23" x14ac:dyDescent="0.2">
      <c r="A1057">
        <v>0.10100000000000001</v>
      </c>
      <c r="B1057">
        <v>0</v>
      </c>
      <c r="C1057">
        <v>4</v>
      </c>
      <c r="D1057">
        <v>4.9099999999999998E-2</v>
      </c>
      <c r="E1057">
        <v>-2.1040000000000001</v>
      </c>
      <c r="F1057">
        <v>221933</v>
      </c>
      <c r="G1057">
        <v>0.73199999999999998</v>
      </c>
      <c r="H1057">
        <v>221</v>
      </c>
      <c r="I1057">
        <v>0.80100000000000005</v>
      </c>
      <c r="J1057">
        <v>0.51100000000000001</v>
      </c>
      <c r="K1057" t="s">
        <v>3003</v>
      </c>
      <c r="L1057">
        <v>26</v>
      </c>
      <c r="M1057">
        <v>0.72399999999999998</v>
      </c>
      <c r="N1057">
        <v>140.13</v>
      </c>
      <c r="O1057">
        <v>0</v>
      </c>
      <c r="P1057">
        <v>1</v>
      </c>
      <c r="Q1057">
        <v>1</v>
      </c>
      <c r="R1057" t="s">
        <v>3004</v>
      </c>
      <c r="S1057" t="s">
        <v>3005</v>
      </c>
      <c r="T1057">
        <f>I1057*-0.5+M1057*0.5</f>
        <v>-3.8500000000000034E-2</v>
      </c>
      <c r="U1057">
        <f>I1057*0.7+M1057*-0.25+D1057*-0.25</f>
        <v>0.367425</v>
      </c>
      <c r="V1057">
        <f>J1057*0.5+I1057*-0.5</f>
        <v>-0.14500000000000002</v>
      </c>
      <c r="W1057">
        <f>M1057*0.5+G1057*0.25+I1057*0.25</f>
        <v>0.74524999999999997</v>
      </c>
    </row>
    <row r="1058" spans="1:23" x14ac:dyDescent="0.2">
      <c r="A1058">
        <v>6.4600000000000005E-2</v>
      </c>
      <c r="B1058">
        <v>6</v>
      </c>
      <c r="C1058">
        <v>4</v>
      </c>
      <c r="D1058">
        <v>7.0300000000000001E-2</v>
      </c>
      <c r="E1058">
        <v>-4.9260000000000002</v>
      </c>
      <c r="F1058">
        <v>283627</v>
      </c>
      <c r="G1058">
        <v>0.85299999999999998</v>
      </c>
      <c r="H1058">
        <v>280</v>
      </c>
      <c r="I1058">
        <v>0.89</v>
      </c>
      <c r="J1058">
        <v>4.3900000000000002E-2</v>
      </c>
      <c r="K1058" t="s">
        <v>2183</v>
      </c>
      <c r="L1058">
        <v>12</v>
      </c>
      <c r="M1058">
        <v>0.81100000000000005</v>
      </c>
      <c r="N1058">
        <v>114.961</v>
      </c>
      <c r="O1058">
        <v>3.0400000000000002E-4</v>
      </c>
      <c r="P1058">
        <v>0</v>
      </c>
      <c r="Q1058">
        <v>10</v>
      </c>
      <c r="R1058" t="s">
        <v>2184</v>
      </c>
      <c r="S1058" t="s">
        <v>2185</v>
      </c>
      <c r="T1058">
        <f>I1058*-0.5+M1058*0.5</f>
        <v>-3.949999999999998E-2</v>
      </c>
      <c r="U1058">
        <f>I1058*0.7+M1058*-0.25+D1058*-0.25</f>
        <v>0.40267500000000001</v>
      </c>
      <c r="V1058">
        <f>J1058*0.5+I1058*-0.5</f>
        <v>-0.42304999999999998</v>
      </c>
      <c r="W1058">
        <f>M1058*0.5+G1058*0.25+I1058*0.25</f>
        <v>0.84125000000000005</v>
      </c>
    </row>
    <row r="1059" spans="1:23" x14ac:dyDescent="0.2">
      <c r="A1059">
        <v>4.7300000000000002E-2</v>
      </c>
      <c r="B1059">
        <v>1</v>
      </c>
      <c r="C1059">
        <v>4</v>
      </c>
      <c r="D1059">
        <v>8.3699999999999997E-2</v>
      </c>
      <c r="E1059">
        <v>-6.2190000000000003</v>
      </c>
      <c r="F1059">
        <v>235973</v>
      </c>
      <c r="G1059">
        <v>0.72599999999999998</v>
      </c>
      <c r="H1059">
        <v>236</v>
      </c>
      <c r="I1059">
        <v>0.76</v>
      </c>
      <c r="J1059">
        <v>1.49E-2</v>
      </c>
      <c r="K1059" t="s">
        <v>2310</v>
      </c>
      <c r="L1059">
        <v>1</v>
      </c>
      <c r="M1059">
        <v>0.67900000000000005</v>
      </c>
      <c r="N1059">
        <v>107.02</v>
      </c>
      <c r="O1059" s="1">
        <v>1.4899999999999999E-6</v>
      </c>
      <c r="P1059">
        <v>1</v>
      </c>
      <c r="Q1059">
        <v>5</v>
      </c>
      <c r="R1059" t="s">
        <v>1133</v>
      </c>
      <c r="S1059" t="s">
        <v>2311</v>
      </c>
      <c r="T1059">
        <f>I1059*-0.5+M1059*0.5</f>
        <v>-4.049999999999998E-2</v>
      </c>
      <c r="U1059">
        <f>I1059*0.7+M1059*-0.25+D1059*-0.25</f>
        <v>0.34132499999999988</v>
      </c>
      <c r="V1059">
        <f>J1059*0.5+I1059*-0.5</f>
        <v>-0.37254999999999999</v>
      </c>
      <c r="W1059">
        <f>M1059*0.5+G1059*0.25+I1059*0.25</f>
        <v>0.71100000000000008</v>
      </c>
    </row>
    <row r="1060" spans="1:23" x14ac:dyDescent="0.2">
      <c r="A1060">
        <v>0.121</v>
      </c>
      <c r="B1060">
        <v>5</v>
      </c>
      <c r="C1060">
        <v>4</v>
      </c>
      <c r="D1060">
        <v>0.24099999999999999</v>
      </c>
      <c r="E1060">
        <v>-3.9249999999999998</v>
      </c>
      <c r="F1060">
        <v>198813</v>
      </c>
      <c r="G1060">
        <v>0.77400000000000002</v>
      </c>
      <c r="H1060">
        <v>198</v>
      </c>
      <c r="I1060">
        <v>0.92800000000000005</v>
      </c>
      <c r="J1060">
        <v>2.7900000000000001E-2</v>
      </c>
      <c r="K1060" t="s">
        <v>2097</v>
      </c>
      <c r="L1060">
        <v>15</v>
      </c>
      <c r="M1060">
        <v>0.84699999999999998</v>
      </c>
      <c r="N1060">
        <v>143.011</v>
      </c>
      <c r="O1060">
        <v>1.83E-2</v>
      </c>
      <c r="P1060">
        <v>0</v>
      </c>
      <c r="Q1060">
        <v>2</v>
      </c>
      <c r="R1060" t="s">
        <v>623</v>
      </c>
      <c r="S1060" t="s">
        <v>2098</v>
      </c>
      <c r="T1060">
        <f>I1060*-0.5+M1060*0.5</f>
        <v>-4.0500000000000036E-2</v>
      </c>
      <c r="U1060">
        <f>I1060*0.7+M1060*-0.25+D1060*-0.25</f>
        <v>0.37759999999999994</v>
      </c>
      <c r="V1060">
        <f>J1060*0.5+I1060*-0.5</f>
        <v>-0.45005000000000001</v>
      </c>
      <c r="W1060">
        <f>M1060*0.5+G1060*0.25+I1060*0.25</f>
        <v>0.84899999999999998</v>
      </c>
    </row>
    <row r="1061" spans="1:23" x14ac:dyDescent="0.2">
      <c r="A1061">
        <v>3.56E-2</v>
      </c>
      <c r="B1061">
        <v>2</v>
      </c>
      <c r="C1061">
        <v>4</v>
      </c>
      <c r="D1061">
        <v>0.121</v>
      </c>
      <c r="E1061">
        <v>-6.8659999999999997</v>
      </c>
      <c r="F1061">
        <v>184813</v>
      </c>
      <c r="G1061">
        <v>0.72299999999999998</v>
      </c>
      <c r="H1061">
        <v>184</v>
      </c>
      <c r="I1061">
        <v>0.57899999999999996</v>
      </c>
      <c r="J1061">
        <v>0.51200000000000001</v>
      </c>
      <c r="K1061" t="s">
        <v>3063</v>
      </c>
      <c r="L1061">
        <v>50</v>
      </c>
      <c r="M1061">
        <v>0.497</v>
      </c>
      <c r="N1061">
        <v>130.02000000000001</v>
      </c>
      <c r="O1061">
        <v>2.5599999999999999E-4</v>
      </c>
      <c r="P1061">
        <v>1</v>
      </c>
      <c r="Q1061">
        <v>21</v>
      </c>
      <c r="R1061" t="s">
        <v>3064</v>
      </c>
      <c r="S1061" t="s">
        <v>2753</v>
      </c>
      <c r="T1061">
        <f>I1061*-0.5+M1061*0.5</f>
        <v>-4.0999999999999981E-2</v>
      </c>
      <c r="U1061">
        <f>I1061*0.7+M1061*-0.25+D1061*-0.25</f>
        <v>0.25079999999999991</v>
      </c>
      <c r="V1061">
        <f>J1061*0.5+I1061*-0.5</f>
        <v>-3.3499999999999974E-2</v>
      </c>
      <c r="W1061">
        <f>M1061*0.5+G1061*0.25+I1061*0.25</f>
        <v>0.57400000000000007</v>
      </c>
    </row>
    <row r="1062" spans="1:23" x14ac:dyDescent="0.2">
      <c r="A1062">
        <v>0.28599999999999998</v>
      </c>
      <c r="B1062">
        <v>7</v>
      </c>
      <c r="C1062">
        <v>4</v>
      </c>
      <c r="D1062">
        <v>0.12</v>
      </c>
      <c r="E1062">
        <v>-6.66</v>
      </c>
      <c r="F1062">
        <v>234133</v>
      </c>
      <c r="G1062">
        <v>0.78600000000000003</v>
      </c>
      <c r="H1062">
        <v>232</v>
      </c>
      <c r="I1062">
        <v>0.59299999999999997</v>
      </c>
      <c r="J1062">
        <v>8.2500000000000004E-2</v>
      </c>
      <c r="K1062" t="s">
        <v>2618</v>
      </c>
      <c r="L1062">
        <v>23</v>
      </c>
      <c r="M1062">
        <v>0.51100000000000001</v>
      </c>
      <c r="N1062">
        <v>80</v>
      </c>
      <c r="O1062">
        <v>0</v>
      </c>
      <c r="P1062">
        <v>1</v>
      </c>
      <c r="Q1062">
        <v>9</v>
      </c>
      <c r="R1062" t="s">
        <v>2619</v>
      </c>
      <c r="S1062" t="s">
        <v>2620</v>
      </c>
      <c r="T1062">
        <f>I1062*-0.5+M1062*0.5</f>
        <v>-4.0999999999999981E-2</v>
      </c>
      <c r="U1062">
        <f>I1062*0.7+M1062*-0.25+D1062*-0.25</f>
        <v>0.25734999999999997</v>
      </c>
      <c r="V1062">
        <f>J1062*0.5+I1062*-0.5</f>
        <v>-0.25524999999999998</v>
      </c>
      <c r="W1062">
        <f>M1062*0.5+G1062*0.25+I1062*0.25</f>
        <v>0.60024999999999995</v>
      </c>
    </row>
    <row r="1063" spans="1:23" x14ac:dyDescent="0.2">
      <c r="A1063">
        <v>0.183</v>
      </c>
      <c r="B1063">
        <v>9</v>
      </c>
      <c r="C1063">
        <v>4</v>
      </c>
      <c r="D1063">
        <v>0.29199999999999998</v>
      </c>
      <c r="E1063">
        <v>-5.1849999999999996</v>
      </c>
      <c r="F1063">
        <v>270240</v>
      </c>
      <c r="G1063">
        <v>0.83399999999999996</v>
      </c>
      <c r="H1063">
        <v>269</v>
      </c>
      <c r="I1063">
        <v>0.746</v>
      </c>
      <c r="J1063">
        <v>8.9700000000000002E-2</v>
      </c>
      <c r="K1063" t="s">
        <v>2484</v>
      </c>
      <c r="L1063">
        <v>15</v>
      </c>
      <c r="M1063">
        <v>0.66400000000000003</v>
      </c>
      <c r="N1063">
        <v>95.078999999999994</v>
      </c>
      <c r="O1063">
        <v>0</v>
      </c>
      <c r="P1063">
        <v>0</v>
      </c>
      <c r="Q1063">
        <v>5</v>
      </c>
      <c r="R1063" t="s">
        <v>2485</v>
      </c>
      <c r="S1063" t="s">
        <v>2486</v>
      </c>
      <c r="T1063">
        <f>I1063*-0.5+M1063*0.5</f>
        <v>-4.0999999999999981E-2</v>
      </c>
      <c r="U1063">
        <f>I1063*0.7+M1063*-0.25+D1063*-0.25</f>
        <v>0.28319999999999995</v>
      </c>
      <c r="V1063">
        <f>J1063*0.5+I1063*-0.5</f>
        <v>-0.32815</v>
      </c>
      <c r="W1063">
        <f>M1063*0.5+G1063*0.25+I1063*0.25</f>
        <v>0.72699999999999998</v>
      </c>
    </row>
    <row r="1064" spans="1:23" x14ac:dyDescent="0.2">
      <c r="A1064">
        <v>5.9700000000000003E-2</v>
      </c>
      <c r="B1064">
        <v>11</v>
      </c>
      <c r="C1064">
        <v>4</v>
      </c>
      <c r="D1064">
        <v>0.109</v>
      </c>
      <c r="E1064">
        <v>-8.5809999999999995</v>
      </c>
      <c r="F1064">
        <v>292000</v>
      </c>
      <c r="G1064">
        <v>0.70399999999999996</v>
      </c>
      <c r="H1064">
        <v>290</v>
      </c>
      <c r="I1064">
        <v>0.49099999999999999</v>
      </c>
      <c r="J1064">
        <v>0.43</v>
      </c>
      <c r="K1064" t="s">
        <v>3049</v>
      </c>
      <c r="L1064">
        <v>9</v>
      </c>
      <c r="M1064">
        <v>0.40899999999999997</v>
      </c>
      <c r="N1064">
        <v>113.863</v>
      </c>
      <c r="O1064">
        <v>0</v>
      </c>
      <c r="P1064">
        <v>0</v>
      </c>
      <c r="Q1064">
        <v>12</v>
      </c>
      <c r="R1064" t="s">
        <v>3050</v>
      </c>
      <c r="S1064" t="s">
        <v>3051</v>
      </c>
      <c r="T1064">
        <f>I1064*-0.5+M1064*0.5</f>
        <v>-4.1000000000000009E-2</v>
      </c>
      <c r="U1064">
        <f>I1064*0.7+M1064*-0.25+D1064*-0.25</f>
        <v>0.21419999999999995</v>
      </c>
      <c r="V1064">
        <f>J1064*0.5+I1064*-0.5</f>
        <v>-3.0499999999999999E-2</v>
      </c>
      <c r="W1064">
        <f>M1064*0.5+G1064*0.25+I1064*0.25</f>
        <v>0.50324999999999998</v>
      </c>
    </row>
    <row r="1065" spans="1:23" x14ac:dyDescent="0.2">
      <c r="A1065">
        <v>5.1400000000000001E-2</v>
      </c>
      <c r="B1065">
        <v>9</v>
      </c>
      <c r="C1065">
        <v>4</v>
      </c>
      <c r="D1065">
        <v>0.109</v>
      </c>
      <c r="E1065">
        <v>-3.7240000000000002</v>
      </c>
      <c r="F1065">
        <v>188754</v>
      </c>
      <c r="G1065">
        <v>0.81100000000000005</v>
      </c>
      <c r="H1065">
        <v>187</v>
      </c>
      <c r="I1065">
        <v>0.96199999999999997</v>
      </c>
      <c r="J1065">
        <v>4.7600000000000003E-2</v>
      </c>
      <c r="K1065" t="s">
        <v>2125</v>
      </c>
      <c r="L1065">
        <v>52</v>
      </c>
      <c r="M1065">
        <v>0.879</v>
      </c>
      <c r="N1065">
        <v>134.06399999999999</v>
      </c>
      <c r="O1065" s="1">
        <v>1.9099999999999999E-6</v>
      </c>
      <c r="P1065">
        <v>1</v>
      </c>
      <c r="Q1065">
        <v>2</v>
      </c>
      <c r="R1065" t="s">
        <v>1300</v>
      </c>
      <c r="S1065" t="s">
        <v>2126</v>
      </c>
      <c r="T1065">
        <f>I1065*-0.5+M1065*0.5</f>
        <v>-4.1499999999999981E-2</v>
      </c>
      <c r="U1065">
        <f>I1065*0.7+M1065*-0.25+D1065*-0.25</f>
        <v>0.42639999999999989</v>
      </c>
      <c r="V1065">
        <f>J1065*0.5+I1065*-0.5</f>
        <v>-0.4572</v>
      </c>
      <c r="W1065">
        <f>M1065*0.5+G1065*0.25+I1065*0.25</f>
        <v>0.88274999999999992</v>
      </c>
    </row>
    <row r="1066" spans="1:23" x14ac:dyDescent="0.2">
      <c r="A1066">
        <v>0.123</v>
      </c>
      <c r="B1066">
        <v>8</v>
      </c>
      <c r="C1066">
        <v>4</v>
      </c>
      <c r="D1066">
        <v>5.2299999999999999E-2</v>
      </c>
      <c r="E1066">
        <v>-5.6189999999999998</v>
      </c>
      <c r="F1066">
        <v>236653</v>
      </c>
      <c r="G1066">
        <v>0.80800000000000005</v>
      </c>
      <c r="H1066">
        <v>240</v>
      </c>
      <c r="I1066">
        <v>0.72099999999999997</v>
      </c>
      <c r="J1066">
        <v>0.35499999999999998</v>
      </c>
      <c r="K1066" t="s">
        <v>2919</v>
      </c>
      <c r="L1066">
        <v>9</v>
      </c>
      <c r="M1066">
        <v>0.63700000000000001</v>
      </c>
      <c r="N1066">
        <v>89.438000000000002</v>
      </c>
      <c r="O1066">
        <v>0</v>
      </c>
      <c r="P1066">
        <v>1</v>
      </c>
      <c r="Q1066">
        <v>5</v>
      </c>
      <c r="R1066" t="s">
        <v>1199</v>
      </c>
      <c r="S1066" t="s">
        <v>2920</v>
      </c>
      <c r="T1066">
        <f>I1066*-0.5+M1066*0.5</f>
        <v>-4.1999999999999982E-2</v>
      </c>
      <c r="U1066">
        <f>I1066*0.7+M1066*-0.25+D1066*-0.25</f>
        <v>0.33237499999999992</v>
      </c>
      <c r="V1066">
        <f>J1066*0.5+I1066*-0.5</f>
        <v>-0.183</v>
      </c>
      <c r="W1066">
        <f>M1066*0.5+G1066*0.25+I1066*0.25</f>
        <v>0.70074999999999998</v>
      </c>
    </row>
    <row r="1067" spans="1:23" x14ac:dyDescent="0.2">
      <c r="A1067">
        <v>2.5899999999999999E-2</v>
      </c>
      <c r="B1067">
        <v>5</v>
      </c>
      <c r="C1067">
        <v>4</v>
      </c>
      <c r="D1067">
        <v>0.221</v>
      </c>
      <c r="E1067">
        <v>-5.9379999999999997</v>
      </c>
      <c r="F1067">
        <v>196893</v>
      </c>
      <c r="G1067">
        <v>0.63200000000000001</v>
      </c>
      <c r="H1067">
        <v>194</v>
      </c>
      <c r="I1067">
        <v>0.72499999999999998</v>
      </c>
      <c r="J1067">
        <v>1.4300000000000001E-3</v>
      </c>
      <c r="K1067" t="s">
        <v>2333</v>
      </c>
      <c r="L1067">
        <v>24</v>
      </c>
      <c r="M1067">
        <v>0.63900000000000001</v>
      </c>
      <c r="N1067">
        <v>95.506</v>
      </c>
      <c r="O1067">
        <v>0</v>
      </c>
      <c r="P1067">
        <v>1</v>
      </c>
      <c r="Q1067">
        <v>13</v>
      </c>
      <c r="R1067" t="s">
        <v>2334</v>
      </c>
      <c r="S1067" t="s">
        <v>1515</v>
      </c>
      <c r="T1067">
        <f>I1067*-0.5+M1067*0.5</f>
        <v>-4.2999999999999983E-2</v>
      </c>
      <c r="U1067">
        <f>I1067*0.7+M1067*-0.25+D1067*-0.25</f>
        <v>0.29249999999999993</v>
      </c>
      <c r="V1067">
        <f>J1067*0.5+I1067*-0.5</f>
        <v>-0.36178499999999997</v>
      </c>
      <c r="W1067">
        <f>M1067*0.5+G1067*0.25+I1067*0.25</f>
        <v>0.65875000000000006</v>
      </c>
    </row>
    <row r="1068" spans="1:23" x14ac:dyDescent="0.2">
      <c r="A1068">
        <v>3.1699999999999999E-2</v>
      </c>
      <c r="B1068">
        <v>6</v>
      </c>
      <c r="C1068">
        <v>4</v>
      </c>
      <c r="D1068">
        <v>4.5400000000000003E-2</v>
      </c>
      <c r="E1068">
        <v>-8.6069999999999993</v>
      </c>
      <c r="F1068">
        <v>273438</v>
      </c>
      <c r="G1068">
        <v>0.75800000000000001</v>
      </c>
      <c r="H1068">
        <v>271</v>
      </c>
      <c r="I1068">
        <v>0.51900000000000002</v>
      </c>
      <c r="J1068">
        <v>2.3E-2</v>
      </c>
      <c r="K1068" t="s">
        <v>2584</v>
      </c>
      <c r="L1068">
        <v>1</v>
      </c>
      <c r="M1068">
        <v>0.433</v>
      </c>
      <c r="N1068">
        <v>129.83199999999999</v>
      </c>
      <c r="O1068">
        <v>1.33E-3</v>
      </c>
      <c r="P1068">
        <v>1</v>
      </c>
      <c r="Q1068">
        <v>12</v>
      </c>
      <c r="R1068" t="s">
        <v>2585</v>
      </c>
      <c r="S1068" t="s">
        <v>2586</v>
      </c>
      <c r="T1068">
        <f>I1068*-0.5+M1068*0.5</f>
        <v>-4.300000000000001E-2</v>
      </c>
      <c r="U1068">
        <f>I1068*0.7+M1068*-0.25+D1068*-0.25</f>
        <v>0.2437</v>
      </c>
      <c r="V1068">
        <f>J1068*0.5+I1068*-0.5</f>
        <v>-0.248</v>
      </c>
      <c r="W1068">
        <f>M1068*0.5+G1068*0.25+I1068*0.25</f>
        <v>0.53575000000000006</v>
      </c>
    </row>
    <row r="1069" spans="1:23" x14ac:dyDescent="0.2">
      <c r="A1069">
        <v>8.9399999999999993E-2</v>
      </c>
      <c r="B1069">
        <v>1</v>
      </c>
      <c r="C1069">
        <v>4</v>
      </c>
      <c r="D1069">
        <v>9.0899999999999995E-2</v>
      </c>
      <c r="E1069">
        <v>-4.8159999999999998</v>
      </c>
      <c r="F1069">
        <v>188493</v>
      </c>
      <c r="G1069">
        <v>0.74099999999999999</v>
      </c>
      <c r="H1069">
        <v>186</v>
      </c>
      <c r="I1069">
        <v>0.71399999999999997</v>
      </c>
      <c r="J1069">
        <v>1.83E-2</v>
      </c>
      <c r="K1069" t="s">
        <v>2383</v>
      </c>
      <c r="L1069">
        <v>58</v>
      </c>
      <c r="M1069">
        <v>0.627</v>
      </c>
      <c r="N1069">
        <v>108.01600000000001</v>
      </c>
      <c r="O1069">
        <v>0</v>
      </c>
      <c r="P1069">
        <v>0</v>
      </c>
      <c r="Q1069">
        <v>12</v>
      </c>
      <c r="R1069" t="s">
        <v>459</v>
      </c>
      <c r="S1069" t="s">
        <v>2384</v>
      </c>
      <c r="T1069">
        <f>I1069*-0.5+M1069*0.5</f>
        <v>-4.3499999999999983E-2</v>
      </c>
      <c r="U1069">
        <f>I1069*0.7+M1069*-0.25+D1069*-0.25</f>
        <v>0.32032499999999997</v>
      </c>
      <c r="V1069">
        <f>J1069*0.5+I1069*-0.5</f>
        <v>-0.34784999999999999</v>
      </c>
      <c r="W1069">
        <f>M1069*0.5+G1069*0.25+I1069*0.25</f>
        <v>0.67725000000000002</v>
      </c>
    </row>
    <row r="1070" spans="1:23" x14ac:dyDescent="0.2">
      <c r="A1070">
        <v>2.8299999999999999E-2</v>
      </c>
      <c r="B1070">
        <v>5</v>
      </c>
      <c r="C1070">
        <v>4</v>
      </c>
      <c r="D1070">
        <v>0.112</v>
      </c>
      <c r="E1070">
        <v>-5.3529999999999998</v>
      </c>
      <c r="F1070">
        <v>215200</v>
      </c>
      <c r="G1070">
        <v>0.72499999999999998</v>
      </c>
      <c r="H1070">
        <v>211</v>
      </c>
      <c r="I1070">
        <v>0.75900000000000001</v>
      </c>
      <c r="J1070" s="1">
        <v>4.6199999999999998E-5</v>
      </c>
      <c r="K1070" t="s">
        <v>2299</v>
      </c>
      <c r="L1070">
        <v>36</v>
      </c>
      <c r="M1070">
        <v>0.67200000000000004</v>
      </c>
      <c r="N1070">
        <v>125.042</v>
      </c>
      <c r="O1070">
        <v>2.2499999999999998E-3</v>
      </c>
      <c r="P1070">
        <v>0</v>
      </c>
      <c r="Q1070">
        <v>3</v>
      </c>
      <c r="R1070" t="s">
        <v>2300</v>
      </c>
      <c r="S1070" t="s">
        <v>2301</v>
      </c>
      <c r="T1070">
        <f>I1070*-0.5+M1070*0.5</f>
        <v>-4.3499999999999983E-2</v>
      </c>
      <c r="U1070">
        <f>I1070*0.7+M1070*-0.25+D1070*-0.25</f>
        <v>0.33529999999999993</v>
      </c>
      <c r="V1070">
        <f>J1070*0.5+I1070*-0.5</f>
        <v>-0.37947690000000001</v>
      </c>
      <c r="W1070">
        <f>M1070*0.5+G1070*0.25+I1070*0.25</f>
        <v>0.70699999999999996</v>
      </c>
    </row>
    <row r="1071" spans="1:23" x14ac:dyDescent="0.2">
      <c r="A1071">
        <v>3.3000000000000002E-2</v>
      </c>
      <c r="B1071">
        <v>0</v>
      </c>
      <c r="C1071">
        <v>4</v>
      </c>
      <c r="D1071">
        <v>0.34799999999999998</v>
      </c>
      <c r="E1071">
        <v>-4.1500000000000004</v>
      </c>
      <c r="F1071">
        <v>199027</v>
      </c>
      <c r="G1071">
        <v>0.76200000000000001</v>
      </c>
      <c r="H1071">
        <v>196</v>
      </c>
      <c r="I1071">
        <v>0.83699999999999997</v>
      </c>
      <c r="J1071">
        <v>2.6599999999999999E-2</v>
      </c>
      <c r="K1071" t="s">
        <v>2264</v>
      </c>
      <c r="L1071">
        <v>33</v>
      </c>
      <c r="M1071">
        <v>0.748</v>
      </c>
      <c r="N1071">
        <v>110.009</v>
      </c>
      <c r="O1071">
        <v>0</v>
      </c>
      <c r="P1071">
        <v>0</v>
      </c>
      <c r="Q1071">
        <v>4</v>
      </c>
      <c r="R1071" t="s">
        <v>734</v>
      </c>
      <c r="S1071" t="s">
        <v>2265</v>
      </c>
      <c r="T1071">
        <f>I1071*-0.5+M1071*0.5</f>
        <v>-4.4499999999999984E-2</v>
      </c>
      <c r="U1071">
        <f>I1071*0.7+M1071*-0.25+D1071*-0.25</f>
        <v>0.31189999999999996</v>
      </c>
      <c r="V1071">
        <f>J1071*0.5+I1071*-0.5</f>
        <v>-0.4052</v>
      </c>
      <c r="W1071">
        <f>M1071*0.5+G1071*0.25+I1071*0.25</f>
        <v>0.77374999999999994</v>
      </c>
    </row>
    <row r="1072" spans="1:23" x14ac:dyDescent="0.2">
      <c r="A1072">
        <v>5.0799999999999998E-2</v>
      </c>
      <c r="B1072">
        <v>11</v>
      </c>
      <c r="C1072">
        <v>4</v>
      </c>
      <c r="D1072">
        <v>9.9699999999999997E-2</v>
      </c>
      <c r="E1072">
        <v>-4.99</v>
      </c>
      <c r="F1072">
        <v>195853</v>
      </c>
      <c r="G1072">
        <v>0.81100000000000005</v>
      </c>
      <c r="H1072">
        <v>192</v>
      </c>
      <c r="I1072">
        <v>0.74399999999999999</v>
      </c>
      <c r="J1072">
        <v>5.5E-2</v>
      </c>
      <c r="K1072" t="s">
        <v>2443</v>
      </c>
      <c r="L1072">
        <v>32</v>
      </c>
      <c r="M1072">
        <v>0.65400000000000003</v>
      </c>
      <c r="N1072">
        <v>129.999</v>
      </c>
      <c r="O1072">
        <v>9.41E-4</v>
      </c>
      <c r="P1072">
        <v>0</v>
      </c>
      <c r="Q1072">
        <v>12</v>
      </c>
      <c r="R1072" t="s">
        <v>2444</v>
      </c>
      <c r="S1072" t="s">
        <v>2445</v>
      </c>
      <c r="T1072">
        <f>I1072*-0.5+M1072*0.5</f>
        <v>-4.4999999999999984E-2</v>
      </c>
      <c r="U1072">
        <f>I1072*0.7+M1072*-0.25+D1072*-0.25</f>
        <v>0.33237499999999998</v>
      </c>
      <c r="V1072">
        <f>J1072*0.5+I1072*-0.5</f>
        <v>-0.34449999999999997</v>
      </c>
      <c r="W1072">
        <f>M1072*0.5+G1072*0.25+I1072*0.25</f>
        <v>0.71575000000000011</v>
      </c>
    </row>
    <row r="1073" spans="1:23" x14ac:dyDescent="0.2">
      <c r="A1073">
        <v>0.111</v>
      </c>
      <c r="B1073">
        <v>7</v>
      </c>
      <c r="C1073">
        <v>4</v>
      </c>
      <c r="D1073">
        <v>0.11600000000000001</v>
      </c>
      <c r="E1073">
        <v>-3.8180000000000001</v>
      </c>
      <c r="F1073">
        <v>193387</v>
      </c>
      <c r="G1073">
        <v>0.76100000000000001</v>
      </c>
      <c r="H1073">
        <v>192</v>
      </c>
      <c r="I1073">
        <v>0.81399999999999995</v>
      </c>
      <c r="J1073">
        <v>1.7500000000000002E-2</v>
      </c>
      <c r="K1073" t="s">
        <v>2268</v>
      </c>
      <c r="L1073">
        <v>31</v>
      </c>
      <c r="M1073">
        <v>0.72399999999999998</v>
      </c>
      <c r="N1073">
        <v>149.93600000000001</v>
      </c>
      <c r="O1073">
        <v>0</v>
      </c>
      <c r="P1073">
        <v>1</v>
      </c>
      <c r="Q1073">
        <v>8</v>
      </c>
      <c r="R1073" t="s">
        <v>2269</v>
      </c>
      <c r="S1073" t="s">
        <v>2270</v>
      </c>
      <c r="T1073">
        <f>I1073*-0.5+M1073*0.5</f>
        <v>-4.4999999999999984E-2</v>
      </c>
      <c r="U1073">
        <f>I1073*0.7+M1073*-0.25+D1073*-0.25</f>
        <v>0.35979999999999995</v>
      </c>
      <c r="V1073">
        <f>J1073*0.5+I1073*-0.5</f>
        <v>-0.39824999999999999</v>
      </c>
      <c r="W1073">
        <f>M1073*0.5+G1073*0.25+I1073*0.25</f>
        <v>0.75575000000000003</v>
      </c>
    </row>
    <row r="1074" spans="1:23" x14ac:dyDescent="0.2">
      <c r="A1074">
        <v>0.122</v>
      </c>
      <c r="B1074">
        <v>6</v>
      </c>
      <c r="C1074">
        <v>4</v>
      </c>
      <c r="D1074">
        <v>5.91E-2</v>
      </c>
      <c r="E1074">
        <v>-2.839</v>
      </c>
      <c r="F1074">
        <v>172667</v>
      </c>
      <c r="G1074">
        <v>0.61599999999999999</v>
      </c>
      <c r="H1074">
        <v>169</v>
      </c>
      <c r="I1074">
        <v>0.93799999999999994</v>
      </c>
      <c r="J1074">
        <v>7.9799999999999996E-2</v>
      </c>
      <c r="K1074" t="s">
        <v>2278</v>
      </c>
      <c r="L1074">
        <v>58</v>
      </c>
      <c r="M1074">
        <v>0.84599999999999997</v>
      </c>
      <c r="N1074">
        <v>78.915999999999997</v>
      </c>
      <c r="O1074" s="1">
        <v>1.4899999999999999E-6</v>
      </c>
      <c r="P1074">
        <v>0</v>
      </c>
      <c r="Q1074">
        <v>18</v>
      </c>
      <c r="R1074" t="s">
        <v>2279</v>
      </c>
      <c r="S1074" t="s">
        <v>2280</v>
      </c>
      <c r="T1074">
        <f>I1074*-0.5+M1074*0.5</f>
        <v>-4.5999999999999985E-2</v>
      </c>
      <c r="U1074">
        <f>I1074*0.7+M1074*-0.25+D1074*-0.25</f>
        <v>0.43032499999999996</v>
      </c>
      <c r="V1074">
        <f>J1074*0.5+I1074*-0.5</f>
        <v>-0.42909999999999998</v>
      </c>
      <c r="W1074">
        <f>M1074*0.5+G1074*0.25+I1074*0.25</f>
        <v>0.81149999999999989</v>
      </c>
    </row>
    <row r="1075" spans="1:23" x14ac:dyDescent="0.2">
      <c r="A1075">
        <v>3.6400000000000002E-2</v>
      </c>
      <c r="B1075">
        <v>1</v>
      </c>
      <c r="C1075">
        <v>4</v>
      </c>
      <c r="D1075">
        <v>0.309</v>
      </c>
      <c r="E1075">
        <v>-3.78</v>
      </c>
      <c r="F1075">
        <v>224773</v>
      </c>
      <c r="G1075">
        <v>0.74299999999999999</v>
      </c>
      <c r="H1075">
        <v>222</v>
      </c>
      <c r="I1075">
        <v>0.9</v>
      </c>
      <c r="J1075">
        <v>4.3499999999999997E-2</v>
      </c>
      <c r="K1075" t="s">
        <v>2235</v>
      </c>
      <c r="L1075">
        <v>51</v>
      </c>
      <c r="M1075">
        <v>0.80700000000000005</v>
      </c>
      <c r="N1075">
        <v>144.06200000000001</v>
      </c>
      <c r="O1075">
        <v>0</v>
      </c>
      <c r="P1075">
        <v>1</v>
      </c>
      <c r="Q1075">
        <v>3</v>
      </c>
      <c r="R1075" t="s">
        <v>2236</v>
      </c>
      <c r="S1075" t="s">
        <v>2237</v>
      </c>
      <c r="T1075">
        <f>I1075*-0.5+M1075*0.5</f>
        <v>-4.6499999999999986E-2</v>
      </c>
      <c r="U1075">
        <f>I1075*0.7+M1075*-0.25+D1075*-0.25</f>
        <v>0.35100000000000003</v>
      </c>
      <c r="V1075">
        <f>J1075*0.5+I1075*-0.5</f>
        <v>-0.42825000000000002</v>
      </c>
      <c r="W1075">
        <f>M1075*0.5+G1075*0.25+I1075*0.25</f>
        <v>0.81425000000000003</v>
      </c>
    </row>
    <row r="1076" spans="1:23" x14ac:dyDescent="0.2">
      <c r="A1076">
        <v>3.7600000000000001E-2</v>
      </c>
      <c r="B1076">
        <v>6</v>
      </c>
      <c r="C1076">
        <v>4</v>
      </c>
      <c r="D1076">
        <v>0.41599999999999998</v>
      </c>
      <c r="E1076">
        <v>-5.9189999999999996</v>
      </c>
      <c r="F1076">
        <v>296800</v>
      </c>
      <c r="G1076">
        <v>0.72399999999999998</v>
      </c>
      <c r="H1076">
        <v>279</v>
      </c>
      <c r="I1076">
        <v>0.58099999999999996</v>
      </c>
      <c r="J1076">
        <v>0.25600000000000001</v>
      </c>
      <c r="K1076" t="s">
        <v>2909</v>
      </c>
      <c r="L1076">
        <v>4</v>
      </c>
      <c r="M1076">
        <v>0.48499999999999999</v>
      </c>
      <c r="N1076">
        <v>136.05699999999999</v>
      </c>
      <c r="O1076" s="1">
        <v>1.3499999999999999E-5</v>
      </c>
      <c r="P1076">
        <v>1</v>
      </c>
      <c r="Q1076">
        <v>9</v>
      </c>
      <c r="R1076" t="s">
        <v>2910</v>
      </c>
      <c r="S1076" t="s">
        <v>2911</v>
      </c>
      <c r="T1076">
        <f>I1076*-0.5+M1076*0.5</f>
        <v>-4.7999999999999987E-2</v>
      </c>
      <c r="U1076">
        <f>I1076*0.7+M1076*-0.25+D1076*-0.25</f>
        <v>0.18145</v>
      </c>
      <c r="V1076">
        <f>J1076*0.5+I1076*-0.5</f>
        <v>-0.16249999999999998</v>
      </c>
      <c r="W1076">
        <f>M1076*0.5+G1076*0.25+I1076*0.25</f>
        <v>0.56874999999999998</v>
      </c>
    </row>
    <row r="1077" spans="1:23" x14ac:dyDescent="0.2">
      <c r="A1077">
        <v>2.98E-2</v>
      </c>
      <c r="B1077">
        <v>5</v>
      </c>
      <c r="C1077">
        <v>4</v>
      </c>
      <c r="D1077">
        <v>4.4600000000000001E-2</v>
      </c>
      <c r="E1077">
        <v>-5.0350000000000001</v>
      </c>
      <c r="F1077">
        <v>181027</v>
      </c>
      <c r="G1077">
        <v>0.74</v>
      </c>
      <c r="H1077">
        <v>182</v>
      </c>
      <c r="I1077">
        <v>0.96199999999999997</v>
      </c>
      <c r="J1077">
        <v>2.35E-2</v>
      </c>
      <c r="K1077" t="s">
        <v>2103</v>
      </c>
      <c r="L1077">
        <v>4</v>
      </c>
      <c r="M1077">
        <v>0.86599999999999999</v>
      </c>
      <c r="N1077">
        <v>118.64</v>
      </c>
      <c r="O1077">
        <v>0</v>
      </c>
      <c r="P1077">
        <v>0</v>
      </c>
      <c r="Q1077">
        <v>14</v>
      </c>
      <c r="R1077" t="s">
        <v>1349</v>
      </c>
      <c r="S1077" t="s">
        <v>2104</v>
      </c>
      <c r="T1077">
        <f>I1077*-0.5+M1077*0.5</f>
        <v>-4.7999999999999987E-2</v>
      </c>
      <c r="U1077">
        <f>I1077*0.7+M1077*-0.25+D1077*-0.25</f>
        <v>0.44574999999999987</v>
      </c>
      <c r="V1077">
        <f>J1077*0.5+I1077*-0.5</f>
        <v>-0.46925</v>
      </c>
      <c r="W1077">
        <f>M1077*0.5+G1077*0.25+I1077*0.25</f>
        <v>0.85850000000000004</v>
      </c>
    </row>
    <row r="1078" spans="1:23" x14ac:dyDescent="0.2">
      <c r="A1078">
        <v>5.4300000000000001E-2</v>
      </c>
      <c r="B1078">
        <v>2</v>
      </c>
      <c r="C1078">
        <v>4</v>
      </c>
      <c r="D1078">
        <v>9.69E-2</v>
      </c>
      <c r="E1078">
        <v>-2.0630000000000002</v>
      </c>
      <c r="F1078">
        <v>200187</v>
      </c>
      <c r="G1078">
        <v>0.65800000000000003</v>
      </c>
      <c r="H1078">
        <v>198</v>
      </c>
      <c r="I1078">
        <v>0.93300000000000005</v>
      </c>
      <c r="J1078">
        <v>6.2899999999999998E-2</v>
      </c>
      <c r="K1078" t="s">
        <v>2255</v>
      </c>
      <c r="L1078">
        <v>45</v>
      </c>
      <c r="M1078">
        <v>0.83699999999999997</v>
      </c>
      <c r="N1078">
        <v>126.015</v>
      </c>
      <c r="O1078">
        <v>0</v>
      </c>
      <c r="P1078">
        <v>1</v>
      </c>
      <c r="Q1078">
        <v>1</v>
      </c>
      <c r="R1078" t="s">
        <v>1111</v>
      </c>
      <c r="S1078" t="s">
        <v>2256</v>
      </c>
      <c r="T1078">
        <f>I1078*-0.5+M1078*0.5</f>
        <v>-4.8000000000000043E-2</v>
      </c>
      <c r="U1078">
        <f>I1078*0.7+M1078*-0.25+D1078*-0.25</f>
        <v>0.41962500000000003</v>
      </c>
      <c r="V1078">
        <f>J1078*0.5+I1078*-0.5</f>
        <v>-0.43505000000000005</v>
      </c>
      <c r="W1078">
        <f>M1078*0.5+G1078*0.25+I1078*0.25</f>
        <v>0.81624999999999992</v>
      </c>
    </row>
    <row r="1079" spans="1:23" x14ac:dyDescent="0.2">
      <c r="A1079">
        <v>4.3299999999999998E-2</v>
      </c>
      <c r="B1079">
        <v>8</v>
      </c>
      <c r="C1079">
        <v>4</v>
      </c>
      <c r="D1079">
        <v>5.96E-2</v>
      </c>
      <c r="E1079">
        <v>-6.4169999999999998</v>
      </c>
      <c r="F1079">
        <v>220853</v>
      </c>
      <c r="G1079">
        <v>0.622</v>
      </c>
      <c r="H1079">
        <v>218</v>
      </c>
      <c r="I1079">
        <v>0.6</v>
      </c>
      <c r="J1079">
        <v>0.26500000000000001</v>
      </c>
      <c r="K1079" t="s">
        <v>2912</v>
      </c>
      <c r="L1079">
        <v>23</v>
      </c>
      <c r="M1079">
        <v>0.503</v>
      </c>
      <c r="N1079">
        <v>93.983999999999995</v>
      </c>
      <c r="O1079">
        <v>4.73E-4</v>
      </c>
      <c r="P1079">
        <v>1</v>
      </c>
      <c r="Q1079">
        <v>11</v>
      </c>
      <c r="R1079" t="s">
        <v>1148</v>
      </c>
      <c r="S1079" t="s">
        <v>2913</v>
      </c>
      <c r="T1079">
        <f>I1079*-0.5+M1079*0.5</f>
        <v>-4.8499999999999988E-2</v>
      </c>
      <c r="U1079">
        <f>I1079*0.7+M1079*-0.25+D1079*-0.25</f>
        <v>0.27934999999999999</v>
      </c>
      <c r="V1079">
        <f>J1079*0.5+I1079*-0.5</f>
        <v>-0.16749999999999998</v>
      </c>
      <c r="W1079">
        <f>M1079*0.5+G1079*0.25+I1079*0.25</f>
        <v>0.55700000000000005</v>
      </c>
    </row>
    <row r="1080" spans="1:23" x14ac:dyDescent="0.2">
      <c r="A1080">
        <v>9.5500000000000002E-2</v>
      </c>
      <c r="B1080">
        <v>7</v>
      </c>
      <c r="C1080">
        <v>4</v>
      </c>
      <c r="D1080">
        <v>5.9700000000000003E-2</v>
      </c>
      <c r="E1080">
        <v>-3.5270000000000001</v>
      </c>
      <c r="F1080">
        <v>243240</v>
      </c>
      <c r="G1080">
        <v>0.72199999999999998</v>
      </c>
      <c r="H1080">
        <v>240</v>
      </c>
      <c r="I1080">
        <v>0.94199999999999995</v>
      </c>
      <c r="J1080">
        <v>7.2999999999999995E-2</v>
      </c>
      <c r="K1080" t="s">
        <v>2271</v>
      </c>
      <c r="L1080">
        <v>52</v>
      </c>
      <c r="M1080">
        <v>0.84499999999999997</v>
      </c>
      <c r="N1080">
        <v>90.957999999999998</v>
      </c>
      <c r="O1080">
        <v>0</v>
      </c>
      <c r="P1080">
        <v>1</v>
      </c>
      <c r="Q1080">
        <v>3</v>
      </c>
      <c r="R1080" t="s">
        <v>2272</v>
      </c>
      <c r="S1080" t="s">
        <v>2273</v>
      </c>
      <c r="T1080">
        <f>I1080*-0.5+M1080*0.5</f>
        <v>-4.8499999999999988E-2</v>
      </c>
      <c r="U1080">
        <f>I1080*0.7+M1080*-0.25+D1080*-0.25</f>
        <v>0.43322499999999986</v>
      </c>
      <c r="V1080">
        <f>J1080*0.5+I1080*-0.5</f>
        <v>-0.4345</v>
      </c>
      <c r="W1080">
        <f>M1080*0.5+G1080*0.25+I1080*0.25</f>
        <v>0.83850000000000002</v>
      </c>
    </row>
    <row r="1081" spans="1:23" x14ac:dyDescent="0.2">
      <c r="A1081">
        <v>0.153</v>
      </c>
      <c r="B1081">
        <v>8</v>
      </c>
      <c r="C1081">
        <v>4</v>
      </c>
      <c r="D1081">
        <v>0.13100000000000001</v>
      </c>
      <c r="E1081">
        <v>-5.7309999999999999</v>
      </c>
      <c r="F1081">
        <v>257000</v>
      </c>
      <c r="G1081">
        <v>0.77300000000000002</v>
      </c>
      <c r="H1081">
        <v>239</v>
      </c>
      <c r="I1081">
        <v>0.82299999999999995</v>
      </c>
      <c r="J1081">
        <v>0.17799999999999999</v>
      </c>
      <c r="K1081" t="s">
        <v>2632</v>
      </c>
      <c r="L1081">
        <v>24</v>
      </c>
      <c r="M1081">
        <v>0.72399999999999998</v>
      </c>
      <c r="N1081">
        <v>131.09200000000001</v>
      </c>
      <c r="O1081">
        <v>0</v>
      </c>
      <c r="P1081">
        <v>1</v>
      </c>
      <c r="Q1081">
        <v>10</v>
      </c>
      <c r="R1081" t="s">
        <v>2597</v>
      </c>
      <c r="S1081" t="s">
        <v>2633</v>
      </c>
      <c r="T1081">
        <f>I1081*-0.5+M1081*0.5</f>
        <v>-4.9499999999999988E-2</v>
      </c>
      <c r="U1081">
        <f>I1081*0.7+M1081*-0.25+D1081*-0.25</f>
        <v>0.36234999999999995</v>
      </c>
      <c r="V1081">
        <f>J1081*0.5+I1081*-0.5</f>
        <v>-0.32250000000000001</v>
      </c>
      <c r="W1081">
        <f>M1081*0.5+G1081*0.25+I1081*0.25</f>
        <v>0.76100000000000001</v>
      </c>
    </row>
    <row r="1082" spans="1:23" x14ac:dyDescent="0.2">
      <c r="A1082">
        <v>4.6800000000000001E-2</v>
      </c>
      <c r="B1082">
        <v>7</v>
      </c>
      <c r="C1082">
        <v>4</v>
      </c>
      <c r="D1082">
        <v>0.127</v>
      </c>
      <c r="E1082">
        <v>-3.903</v>
      </c>
      <c r="F1082">
        <v>222293</v>
      </c>
      <c r="G1082">
        <v>0.78100000000000003</v>
      </c>
      <c r="H1082">
        <v>220</v>
      </c>
      <c r="I1082">
        <v>0.89</v>
      </c>
      <c r="J1082">
        <v>0.14499999999999999</v>
      </c>
      <c r="K1082" t="s">
        <v>2499</v>
      </c>
      <c r="L1082">
        <v>27</v>
      </c>
      <c r="M1082">
        <v>0.79100000000000004</v>
      </c>
      <c r="N1082">
        <v>76.998000000000005</v>
      </c>
      <c r="O1082">
        <v>0</v>
      </c>
      <c r="P1082">
        <v>0</v>
      </c>
      <c r="Q1082">
        <v>7</v>
      </c>
      <c r="R1082" t="s">
        <v>2500</v>
      </c>
      <c r="S1082" t="s">
        <v>2501</v>
      </c>
      <c r="T1082">
        <f>I1082*-0.5+M1082*0.5</f>
        <v>-4.9499999999999988E-2</v>
      </c>
      <c r="U1082">
        <f>I1082*0.7+M1082*-0.25+D1082*-0.25</f>
        <v>0.39350000000000002</v>
      </c>
      <c r="V1082">
        <f>J1082*0.5+I1082*-0.5</f>
        <v>-0.3725</v>
      </c>
      <c r="W1082">
        <f>M1082*0.5+G1082*0.25+I1082*0.25</f>
        <v>0.81325000000000003</v>
      </c>
    </row>
    <row r="1083" spans="1:23" x14ac:dyDescent="0.2">
      <c r="A1083">
        <v>3.6700000000000003E-2</v>
      </c>
      <c r="B1083">
        <v>9</v>
      </c>
      <c r="C1083">
        <v>4</v>
      </c>
      <c r="D1083">
        <v>0.18</v>
      </c>
      <c r="E1083">
        <v>-9.9179999999999993</v>
      </c>
      <c r="F1083">
        <v>258373</v>
      </c>
      <c r="G1083">
        <v>0.64200000000000002</v>
      </c>
      <c r="H1083">
        <v>258</v>
      </c>
      <c r="I1083">
        <v>0.38800000000000001</v>
      </c>
      <c r="J1083">
        <v>0.66900000000000004</v>
      </c>
      <c r="K1083" t="s">
        <v>3113</v>
      </c>
      <c r="L1083">
        <v>45</v>
      </c>
      <c r="M1083">
        <v>0.28899999999999998</v>
      </c>
      <c r="N1083">
        <v>84.995999999999995</v>
      </c>
      <c r="O1083">
        <v>0</v>
      </c>
      <c r="P1083">
        <v>1</v>
      </c>
      <c r="Q1083">
        <v>10</v>
      </c>
      <c r="R1083" t="s">
        <v>2717</v>
      </c>
      <c r="S1083" t="s">
        <v>3114</v>
      </c>
      <c r="T1083">
        <f>I1083*-0.5+M1083*0.5</f>
        <v>-4.9500000000000016E-2</v>
      </c>
      <c r="U1083">
        <f>I1083*0.7+M1083*-0.25+D1083*-0.25</f>
        <v>0.15435000000000004</v>
      </c>
      <c r="V1083">
        <f>J1083*0.5+I1083*-0.5</f>
        <v>0.14050000000000001</v>
      </c>
      <c r="W1083">
        <f>M1083*0.5+G1083*0.25+I1083*0.25</f>
        <v>0.40200000000000002</v>
      </c>
    </row>
    <row r="1084" spans="1:23" x14ac:dyDescent="0.2">
      <c r="A1084">
        <v>0.38</v>
      </c>
      <c r="B1084">
        <v>5</v>
      </c>
      <c r="C1084">
        <v>4</v>
      </c>
      <c r="D1084">
        <v>0.35599999999999998</v>
      </c>
      <c r="E1084">
        <v>-4.7370000000000001</v>
      </c>
      <c r="F1084">
        <v>200053</v>
      </c>
      <c r="G1084">
        <v>0.433</v>
      </c>
      <c r="H1084">
        <v>186</v>
      </c>
      <c r="I1084">
        <v>0.91400000000000003</v>
      </c>
      <c r="J1084">
        <v>7.1999999999999998E-3</v>
      </c>
      <c r="K1084" t="s">
        <v>2150</v>
      </c>
      <c r="L1084">
        <v>10</v>
      </c>
      <c r="M1084">
        <v>0.81499999999999995</v>
      </c>
      <c r="N1084">
        <v>191.803</v>
      </c>
      <c r="O1084" s="1">
        <v>1.9199999999999998E-6</v>
      </c>
      <c r="P1084">
        <v>0</v>
      </c>
      <c r="Q1084">
        <v>1</v>
      </c>
      <c r="R1084" t="s">
        <v>623</v>
      </c>
      <c r="S1084" t="s">
        <v>2151</v>
      </c>
      <c r="T1084">
        <f>I1084*-0.5+M1084*0.5</f>
        <v>-4.9500000000000044E-2</v>
      </c>
      <c r="U1084">
        <f>I1084*0.7+M1084*-0.25+D1084*-0.25</f>
        <v>0.34705000000000008</v>
      </c>
      <c r="V1084">
        <f>J1084*0.5+I1084*-0.5</f>
        <v>-0.45340000000000003</v>
      </c>
      <c r="W1084">
        <f>M1084*0.5+G1084*0.25+I1084*0.25</f>
        <v>0.74424999999999997</v>
      </c>
    </row>
    <row r="1085" spans="1:23" x14ac:dyDescent="0.2">
      <c r="A1085">
        <v>0.17199999999999999</v>
      </c>
      <c r="B1085">
        <v>1</v>
      </c>
      <c r="C1085">
        <v>4</v>
      </c>
      <c r="D1085">
        <v>7.2800000000000004E-2</v>
      </c>
      <c r="E1085">
        <v>-5.3280000000000003</v>
      </c>
      <c r="F1085">
        <v>254173</v>
      </c>
      <c r="G1085">
        <v>0.77300000000000002</v>
      </c>
      <c r="H1085">
        <v>220</v>
      </c>
      <c r="I1085">
        <v>0.92300000000000004</v>
      </c>
      <c r="J1085">
        <v>0.13400000000000001</v>
      </c>
      <c r="K1085" t="s">
        <v>2446</v>
      </c>
      <c r="L1085">
        <v>15</v>
      </c>
      <c r="M1085">
        <v>0.82399999999999995</v>
      </c>
      <c r="N1085">
        <v>94.998000000000005</v>
      </c>
      <c r="O1085">
        <v>0</v>
      </c>
      <c r="P1085">
        <v>0</v>
      </c>
      <c r="Q1085">
        <v>6</v>
      </c>
      <c r="R1085" t="s">
        <v>2447</v>
      </c>
      <c r="S1085" t="s">
        <v>2448</v>
      </c>
      <c r="T1085">
        <f>I1085*-0.5+M1085*0.5</f>
        <v>-4.9500000000000044E-2</v>
      </c>
      <c r="U1085">
        <f>I1085*0.7+M1085*-0.25+D1085*-0.25</f>
        <v>0.42190000000000005</v>
      </c>
      <c r="V1085">
        <f>J1085*0.5+I1085*-0.5</f>
        <v>-0.39450000000000002</v>
      </c>
      <c r="W1085">
        <f>M1085*0.5+G1085*0.25+I1085*0.25</f>
        <v>0.83599999999999997</v>
      </c>
    </row>
    <row r="1086" spans="1:23" x14ac:dyDescent="0.2">
      <c r="A1086">
        <v>0.33500000000000002</v>
      </c>
      <c r="B1086">
        <v>11</v>
      </c>
      <c r="C1086">
        <v>4</v>
      </c>
      <c r="D1086">
        <v>0.185</v>
      </c>
      <c r="E1086">
        <v>-6.0460000000000003</v>
      </c>
      <c r="F1086">
        <v>230693</v>
      </c>
      <c r="G1086">
        <v>0.41699999999999998</v>
      </c>
      <c r="H1086">
        <v>228</v>
      </c>
      <c r="I1086">
        <v>0.80500000000000005</v>
      </c>
      <c r="J1086">
        <v>6.2199999999999998E-2</v>
      </c>
      <c r="K1086" t="s">
        <v>2420</v>
      </c>
      <c r="L1086">
        <v>10</v>
      </c>
      <c r="M1086">
        <v>0.70399999999999996</v>
      </c>
      <c r="N1086">
        <v>86.804000000000002</v>
      </c>
      <c r="O1086">
        <v>0</v>
      </c>
      <c r="P1086">
        <v>1</v>
      </c>
      <c r="Q1086">
        <v>9</v>
      </c>
      <c r="R1086" t="s">
        <v>328</v>
      </c>
      <c r="S1086" t="s">
        <v>2421</v>
      </c>
      <c r="T1086">
        <f>I1086*-0.5+M1086*0.5</f>
        <v>-5.0500000000000045E-2</v>
      </c>
      <c r="U1086">
        <f>I1086*0.7+M1086*-0.25+D1086*-0.25</f>
        <v>0.34125</v>
      </c>
      <c r="V1086">
        <f>J1086*0.5+I1086*-0.5</f>
        <v>-0.37140000000000001</v>
      </c>
      <c r="W1086">
        <f>M1086*0.5+G1086*0.25+I1086*0.25</f>
        <v>0.65749999999999997</v>
      </c>
    </row>
    <row r="1087" spans="1:23" x14ac:dyDescent="0.2">
      <c r="A1087">
        <v>4.5999999999999999E-2</v>
      </c>
      <c r="B1087">
        <v>1</v>
      </c>
      <c r="C1087">
        <v>4</v>
      </c>
      <c r="D1087">
        <v>0.215</v>
      </c>
      <c r="E1087">
        <v>-4.8049999999999997</v>
      </c>
      <c r="F1087">
        <v>211920</v>
      </c>
      <c r="G1087">
        <v>0.71099999999999997</v>
      </c>
      <c r="H1087">
        <v>211</v>
      </c>
      <c r="I1087">
        <v>0.80200000000000005</v>
      </c>
      <c r="J1087">
        <v>4.9800000000000001E-3</v>
      </c>
      <c r="K1087" t="s">
        <v>2312</v>
      </c>
      <c r="L1087">
        <v>45</v>
      </c>
      <c r="M1087">
        <v>0.7</v>
      </c>
      <c r="N1087">
        <v>128.001</v>
      </c>
      <c r="O1087">
        <v>1.25E-4</v>
      </c>
      <c r="P1087">
        <v>0</v>
      </c>
      <c r="Q1087">
        <v>3</v>
      </c>
      <c r="R1087" t="s">
        <v>237</v>
      </c>
      <c r="S1087" t="s">
        <v>2313</v>
      </c>
      <c r="T1087">
        <f>I1087*-0.5+M1087*0.5</f>
        <v>-5.1000000000000045E-2</v>
      </c>
      <c r="U1087">
        <f>I1087*0.7+M1087*-0.25+D1087*-0.25</f>
        <v>0.33265</v>
      </c>
      <c r="V1087">
        <f>J1087*0.5+I1087*-0.5</f>
        <v>-0.39851000000000003</v>
      </c>
      <c r="W1087">
        <f>M1087*0.5+G1087*0.25+I1087*0.25</f>
        <v>0.72824999999999995</v>
      </c>
    </row>
    <row r="1088" spans="1:23" x14ac:dyDescent="0.2">
      <c r="A1088">
        <v>5.4699999999999999E-2</v>
      </c>
      <c r="B1088">
        <v>10</v>
      </c>
      <c r="C1088">
        <v>4</v>
      </c>
      <c r="D1088">
        <v>0.33200000000000002</v>
      </c>
      <c r="E1088">
        <v>-5.6680000000000001</v>
      </c>
      <c r="F1088">
        <v>196307</v>
      </c>
      <c r="G1088">
        <v>0.89200000000000002</v>
      </c>
      <c r="H1088">
        <v>188</v>
      </c>
      <c r="I1088">
        <v>0.86699999999999999</v>
      </c>
      <c r="J1088">
        <v>1.8599999999999998E-2</v>
      </c>
      <c r="K1088" t="s">
        <v>2257</v>
      </c>
      <c r="L1088">
        <v>18</v>
      </c>
      <c r="M1088">
        <v>0.76400000000000001</v>
      </c>
      <c r="N1088">
        <v>115.014</v>
      </c>
      <c r="O1088">
        <v>3.5799999999999998E-2</v>
      </c>
      <c r="P1088">
        <v>0</v>
      </c>
      <c r="Q1088">
        <v>3</v>
      </c>
      <c r="R1088" t="s">
        <v>2258</v>
      </c>
      <c r="S1088" t="s">
        <v>2259</v>
      </c>
      <c r="T1088">
        <f>I1088*-0.5+M1088*0.5</f>
        <v>-5.149999999999999E-2</v>
      </c>
      <c r="U1088">
        <f>I1088*0.7+M1088*-0.25+D1088*-0.25</f>
        <v>0.33289999999999997</v>
      </c>
      <c r="V1088">
        <f>J1088*0.5+I1088*-0.5</f>
        <v>-0.42420000000000002</v>
      </c>
      <c r="W1088">
        <f>M1088*0.5+G1088*0.25+I1088*0.25</f>
        <v>0.82174999999999998</v>
      </c>
    </row>
    <row r="1089" spans="1:23" x14ac:dyDescent="0.2">
      <c r="A1089">
        <v>3.7100000000000001E-2</v>
      </c>
      <c r="B1089">
        <v>7</v>
      </c>
      <c r="C1089">
        <v>4</v>
      </c>
      <c r="D1089">
        <v>9.7299999999999998E-2</v>
      </c>
      <c r="E1089">
        <v>-6.5979999999999999</v>
      </c>
      <c r="F1089">
        <v>244493</v>
      </c>
      <c r="G1089">
        <v>0.71699999999999997</v>
      </c>
      <c r="H1089">
        <v>238</v>
      </c>
      <c r="I1089">
        <v>0.64800000000000002</v>
      </c>
      <c r="J1089">
        <v>0.44500000000000001</v>
      </c>
      <c r="K1089" t="s">
        <v>3021</v>
      </c>
      <c r="L1089">
        <v>49</v>
      </c>
      <c r="M1089">
        <v>0.54400000000000004</v>
      </c>
      <c r="N1089">
        <v>139.959</v>
      </c>
      <c r="O1089" s="1">
        <v>5.1599999999999997E-6</v>
      </c>
      <c r="P1089">
        <v>1</v>
      </c>
      <c r="Q1089">
        <v>15</v>
      </c>
      <c r="R1089" t="s">
        <v>504</v>
      </c>
      <c r="S1089" t="s">
        <v>3022</v>
      </c>
      <c r="T1089">
        <f>I1089*-0.5+M1089*0.5</f>
        <v>-5.1999999999999991E-2</v>
      </c>
      <c r="U1089">
        <f>I1089*0.7+M1089*-0.25+D1089*-0.25</f>
        <v>0.29327500000000001</v>
      </c>
      <c r="V1089">
        <f>J1089*0.5+I1089*-0.5</f>
        <v>-0.10150000000000001</v>
      </c>
      <c r="W1089">
        <f>M1089*0.5+G1089*0.25+I1089*0.25</f>
        <v>0.61325000000000007</v>
      </c>
    </row>
    <row r="1090" spans="1:23" x14ac:dyDescent="0.2">
      <c r="A1090">
        <v>0.10199999999999999</v>
      </c>
      <c r="B1090">
        <v>4</v>
      </c>
      <c r="C1090">
        <v>4</v>
      </c>
      <c r="D1090">
        <v>6.6199999999999995E-2</v>
      </c>
      <c r="E1090">
        <v>-6.11</v>
      </c>
      <c r="F1090">
        <v>237840</v>
      </c>
      <c r="G1090">
        <v>0.89600000000000002</v>
      </c>
      <c r="H1090">
        <v>237</v>
      </c>
      <c r="I1090">
        <v>0.65700000000000003</v>
      </c>
      <c r="J1090">
        <v>0.27300000000000002</v>
      </c>
      <c r="K1090" t="s">
        <v>2890</v>
      </c>
      <c r="L1090">
        <v>15</v>
      </c>
      <c r="M1090">
        <v>0.55200000000000005</v>
      </c>
      <c r="N1090">
        <v>93.001000000000005</v>
      </c>
      <c r="O1090">
        <v>0</v>
      </c>
      <c r="P1090">
        <v>0</v>
      </c>
      <c r="Q1090">
        <v>8</v>
      </c>
      <c r="R1090" t="s">
        <v>2891</v>
      </c>
      <c r="S1090" t="s">
        <v>2892</v>
      </c>
      <c r="T1090">
        <f>I1090*-0.5+M1090*0.5</f>
        <v>-5.2499999999999991E-2</v>
      </c>
      <c r="U1090">
        <f>I1090*0.7+M1090*-0.25+D1090*-0.25</f>
        <v>0.30534999999999995</v>
      </c>
      <c r="V1090">
        <f>J1090*0.5+I1090*-0.5</f>
        <v>-0.192</v>
      </c>
      <c r="W1090">
        <f>M1090*0.5+G1090*0.25+I1090*0.25</f>
        <v>0.66425000000000001</v>
      </c>
    </row>
    <row r="1091" spans="1:23" x14ac:dyDescent="0.2">
      <c r="A1091">
        <v>6.8699999999999997E-2</v>
      </c>
      <c r="B1091">
        <v>1</v>
      </c>
      <c r="C1091">
        <v>4</v>
      </c>
      <c r="D1091">
        <v>0.25600000000000001</v>
      </c>
      <c r="E1091">
        <v>-6.0750000000000002</v>
      </c>
      <c r="F1091">
        <v>225373</v>
      </c>
      <c r="G1091">
        <v>0.76200000000000001</v>
      </c>
      <c r="H1091">
        <v>223</v>
      </c>
      <c r="I1091">
        <v>0.76600000000000001</v>
      </c>
      <c r="J1091">
        <v>0.15</v>
      </c>
      <c r="K1091" t="s">
        <v>2657</v>
      </c>
      <c r="L1091">
        <v>26</v>
      </c>
      <c r="M1091">
        <v>0.66100000000000003</v>
      </c>
      <c r="N1091">
        <v>130.00899999999999</v>
      </c>
      <c r="O1091">
        <v>0</v>
      </c>
      <c r="P1091">
        <v>0</v>
      </c>
      <c r="Q1091">
        <v>8</v>
      </c>
      <c r="R1091" t="s">
        <v>652</v>
      </c>
      <c r="S1091" t="s">
        <v>2658</v>
      </c>
      <c r="T1091">
        <f>I1091*-0.5+M1091*0.5</f>
        <v>-5.2499999999999991E-2</v>
      </c>
      <c r="U1091">
        <f>I1091*0.7+M1091*-0.25+D1091*-0.25</f>
        <v>0.30695</v>
      </c>
      <c r="V1091">
        <f>J1091*0.5+I1091*-0.5</f>
        <v>-0.308</v>
      </c>
      <c r="W1091">
        <f>M1091*0.5+G1091*0.25+I1091*0.25</f>
        <v>0.71250000000000002</v>
      </c>
    </row>
    <row r="1092" spans="1:23" x14ac:dyDescent="0.2">
      <c r="A1092">
        <v>4.4900000000000002E-2</v>
      </c>
      <c r="B1092">
        <v>8</v>
      </c>
      <c r="C1092">
        <v>4</v>
      </c>
      <c r="D1092">
        <v>0.10100000000000001</v>
      </c>
      <c r="E1092">
        <v>-5.4480000000000004</v>
      </c>
      <c r="F1092">
        <v>224987</v>
      </c>
      <c r="G1092">
        <v>0.61399999999999999</v>
      </c>
      <c r="H1092">
        <v>219</v>
      </c>
      <c r="I1092">
        <v>0.87</v>
      </c>
      <c r="J1092">
        <v>4.9200000000000003E-4</v>
      </c>
      <c r="K1092" t="s">
        <v>2213</v>
      </c>
      <c r="L1092">
        <v>50</v>
      </c>
      <c r="M1092">
        <v>0.76500000000000001</v>
      </c>
      <c r="N1092">
        <v>105.008</v>
      </c>
      <c r="O1092">
        <v>0</v>
      </c>
      <c r="P1092">
        <v>0</v>
      </c>
      <c r="Q1092">
        <v>20</v>
      </c>
      <c r="R1092" t="s">
        <v>2214</v>
      </c>
      <c r="S1092" t="s">
        <v>2215</v>
      </c>
      <c r="T1092">
        <f>I1092*-0.5+M1092*0.5</f>
        <v>-5.2499999999999991E-2</v>
      </c>
      <c r="U1092">
        <f>I1092*0.7+M1092*-0.25+D1092*-0.25</f>
        <v>0.39249999999999996</v>
      </c>
      <c r="V1092">
        <f>J1092*0.5+I1092*-0.5</f>
        <v>-0.43475399999999997</v>
      </c>
      <c r="W1092">
        <f>M1092*0.5+G1092*0.25+I1092*0.25</f>
        <v>0.75350000000000006</v>
      </c>
    </row>
    <row r="1093" spans="1:23" x14ac:dyDescent="0.2">
      <c r="A1093">
        <v>7.2499999999999995E-2</v>
      </c>
      <c r="B1093">
        <v>4</v>
      </c>
      <c r="C1093">
        <v>4</v>
      </c>
      <c r="D1093">
        <v>8.6999999999999994E-2</v>
      </c>
      <c r="E1093">
        <v>-2.4510000000000001</v>
      </c>
      <c r="F1093">
        <v>198053</v>
      </c>
      <c r="G1093">
        <v>0.72899999999999998</v>
      </c>
      <c r="H1093">
        <v>197</v>
      </c>
      <c r="I1093">
        <v>0.876</v>
      </c>
      <c r="J1093">
        <v>7.6099999999999996E-3</v>
      </c>
      <c r="K1093" t="s">
        <v>2219</v>
      </c>
      <c r="L1093">
        <v>42</v>
      </c>
      <c r="M1093">
        <v>0.77100000000000002</v>
      </c>
      <c r="N1093">
        <v>125.011</v>
      </c>
      <c r="O1093">
        <v>0</v>
      </c>
      <c r="P1093">
        <v>1</v>
      </c>
      <c r="Q1093">
        <v>4</v>
      </c>
      <c r="R1093" t="s">
        <v>1111</v>
      </c>
      <c r="S1093" t="s">
        <v>2220</v>
      </c>
      <c r="T1093">
        <f>I1093*-0.5+M1093*0.5</f>
        <v>-5.2499999999999991E-2</v>
      </c>
      <c r="U1093">
        <f>I1093*0.7+M1093*-0.25+D1093*-0.25</f>
        <v>0.3987</v>
      </c>
      <c r="V1093">
        <f>J1093*0.5+I1093*-0.5</f>
        <v>-0.434195</v>
      </c>
      <c r="W1093">
        <f>M1093*0.5+G1093*0.25+I1093*0.25</f>
        <v>0.78674999999999995</v>
      </c>
    </row>
    <row r="1094" spans="1:23" x14ac:dyDescent="0.2">
      <c r="A1094">
        <v>4.2200000000000001E-2</v>
      </c>
      <c r="B1094">
        <v>6</v>
      </c>
      <c r="C1094">
        <v>4</v>
      </c>
      <c r="D1094">
        <v>0.34100000000000003</v>
      </c>
      <c r="E1094">
        <v>-5.5949999999999998</v>
      </c>
      <c r="F1094">
        <v>298074</v>
      </c>
      <c r="G1094">
        <v>0.65600000000000003</v>
      </c>
      <c r="H1094">
        <v>227</v>
      </c>
      <c r="I1094">
        <v>0.80500000000000005</v>
      </c>
      <c r="J1094">
        <v>1.04E-2</v>
      </c>
      <c r="K1094" t="s">
        <v>2322</v>
      </c>
      <c r="L1094">
        <v>42</v>
      </c>
      <c r="M1094">
        <v>0.7</v>
      </c>
      <c r="N1094">
        <v>126.038</v>
      </c>
      <c r="O1094">
        <v>1.6299999999999999E-3</v>
      </c>
      <c r="P1094">
        <v>0</v>
      </c>
      <c r="Q1094">
        <v>18</v>
      </c>
      <c r="R1094" t="s">
        <v>2323</v>
      </c>
      <c r="S1094" t="s">
        <v>2324</v>
      </c>
      <c r="T1094">
        <f>I1094*-0.5+M1094*0.5</f>
        <v>-5.2500000000000047E-2</v>
      </c>
      <c r="U1094">
        <f>I1094*0.7+M1094*-0.25+D1094*-0.25</f>
        <v>0.30325000000000002</v>
      </c>
      <c r="V1094">
        <f>J1094*0.5+I1094*-0.5</f>
        <v>-0.39730000000000004</v>
      </c>
      <c r="W1094">
        <f>M1094*0.5+G1094*0.25+I1094*0.25</f>
        <v>0.71525000000000005</v>
      </c>
    </row>
    <row r="1095" spans="1:23" x14ac:dyDescent="0.2">
      <c r="A1095">
        <v>2.7300000000000001E-2</v>
      </c>
      <c r="B1095">
        <v>2</v>
      </c>
      <c r="C1095">
        <v>4</v>
      </c>
      <c r="D1095">
        <v>0.16400000000000001</v>
      </c>
      <c r="E1095">
        <v>-8.3870000000000005</v>
      </c>
      <c r="F1095">
        <v>228480</v>
      </c>
      <c r="G1095">
        <v>0.57399999999999995</v>
      </c>
      <c r="H1095">
        <v>226</v>
      </c>
      <c r="I1095">
        <v>0.50600000000000001</v>
      </c>
      <c r="J1095">
        <v>0.56899999999999995</v>
      </c>
      <c r="K1095" t="s">
        <v>3096</v>
      </c>
      <c r="L1095">
        <v>11</v>
      </c>
      <c r="M1095">
        <v>0.4</v>
      </c>
      <c r="N1095">
        <v>146.018</v>
      </c>
      <c r="O1095" s="1">
        <v>6.19E-6</v>
      </c>
      <c r="P1095">
        <v>1</v>
      </c>
      <c r="Q1095">
        <v>11</v>
      </c>
      <c r="R1095" t="s">
        <v>3097</v>
      </c>
      <c r="S1095" t="s">
        <v>3098</v>
      </c>
      <c r="T1095">
        <f>I1095*-0.5+M1095*0.5</f>
        <v>-5.2999999999999992E-2</v>
      </c>
      <c r="U1095">
        <f>I1095*0.7+M1095*-0.25+D1095*-0.25</f>
        <v>0.21319999999999997</v>
      </c>
      <c r="V1095">
        <f>J1095*0.5+I1095*-0.5</f>
        <v>3.1499999999999972E-2</v>
      </c>
      <c r="W1095">
        <f>M1095*0.5+G1095*0.25+I1095*0.25</f>
        <v>0.47000000000000003</v>
      </c>
    </row>
    <row r="1096" spans="1:23" x14ac:dyDescent="0.2">
      <c r="A1096">
        <v>0.14000000000000001</v>
      </c>
      <c r="B1096">
        <v>4</v>
      </c>
      <c r="C1096">
        <v>4</v>
      </c>
      <c r="D1096">
        <v>5.21E-2</v>
      </c>
      <c r="E1096">
        <v>-6.0549999999999997</v>
      </c>
      <c r="F1096">
        <v>267267</v>
      </c>
      <c r="G1096">
        <v>0.89100000000000001</v>
      </c>
      <c r="H1096">
        <v>266</v>
      </c>
      <c r="I1096">
        <v>0.82</v>
      </c>
      <c r="J1096">
        <v>0.20200000000000001</v>
      </c>
      <c r="K1096" t="s">
        <v>2696</v>
      </c>
      <c r="L1096">
        <v>13</v>
      </c>
      <c r="M1096">
        <v>0.71399999999999997</v>
      </c>
      <c r="N1096">
        <v>100.97199999999999</v>
      </c>
      <c r="O1096">
        <v>2.34E-4</v>
      </c>
      <c r="P1096">
        <v>0</v>
      </c>
      <c r="Q1096">
        <v>1</v>
      </c>
      <c r="R1096" t="s">
        <v>998</v>
      </c>
      <c r="S1096" t="s">
        <v>2697</v>
      </c>
      <c r="T1096">
        <f>I1096*-0.5+M1096*0.5</f>
        <v>-5.2999999999999992E-2</v>
      </c>
      <c r="U1096">
        <f>I1096*0.7+M1096*-0.25+D1096*-0.25</f>
        <v>0.38247499999999995</v>
      </c>
      <c r="V1096">
        <f>J1096*0.5+I1096*-0.5</f>
        <v>-0.30899999999999994</v>
      </c>
      <c r="W1096">
        <f>M1096*0.5+G1096*0.25+I1096*0.25</f>
        <v>0.78474999999999995</v>
      </c>
    </row>
    <row r="1097" spans="1:23" x14ac:dyDescent="0.2">
      <c r="A1097">
        <v>8.5000000000000006E-2</v>
      </c>
      <c r="B1097">
        <v>11</v>
      </c>
      <c r="C1097">
        <v>4</v>
      </c>
      <c r="D1097">
        <v>0.11799999999999999</v>
      </c>
      <c r="E1097">
        <v>-4.88</v>
      </c>
      <c r="F1097">
        <v>210307</v>
      </c>
      <c r="G1097">
        <v>0.85399999999999998</v>
      </c>
      <c r="H1097">
        <v>207</v>
      </c>
      <c r="I1097">
        <v>0.77300000000000002</v>
      </c>
      <c r="J1097">
        <v>2.7799999999999998E-2</v>
      </c>
      <c r="K1097" t="s">
        <v>2414</v>
      </c>
      <c r="L1097">
        <v>33</v>
      </c>
      <c r="M1097">
        <v>0.66400000000000003</v>
      </c>
      <c r="N1097">
        <v>125.84</v>
      </c>
      <c r="O1097">
        <v>0</v>
      </c>
      <c r="P1097">
        <v>1</v>
      </c>
      <c r="Q1097">
        <v>7</v>
      </c>
      <c r="R1097" t="s">
        <v>2415</v>
      </c>
      <c r="S1097" t="s">
        <v>2416</v>
      </c>
      <c r="T1097">
        <f>I1097*-0.5+M1097*0.5</f>
        <v>-5.4499999999999993E-2</v>
      </c>
      <c r="U1097">
        <f>I1097*0.7+M1097*-0.25+D1097*-0.25</f>
        <v>0.34560000000000002</v>
      </c>
      <c r="V1097">
        <f>J1097*0.5+I1097*-0.5</f>
        <v>-0.37259999999999999</v>
      </c>
      <c r="W1097">
        <f>M1097*0.5+G1097*0.25+I1097*0.25</f>
        <v>0.73875000000000002</v>
      </c>
    </row>
    <row r="1098" spans="1:23" x14ac:dyDescent="0.2">
      <c r="A1098">
        <v>5.8299999999999998E-2</v>
      </c>
      <c r="B1098">
        <v>4</v>
      </c>
      <c r="C1098">
        <v>4</v>
      </c>
      <c r="D1098">
        <v>0.51700000000000002</v>
      </c>
      <c r="E1098">
        <v>-7.7949999999999999</v>
      </c>
      <c r="F1098">
        <v>170481</v>
      </c>
      <c r="G1098">
        <v>0.748</v>
      </c>
      <c r="H1098">
        <v>170</v>
      </c>
      <c r="I1098">
        <v>0.90400000000000003</v>
      </c>
      <c r="J1098">
        <v>0.32400000000000001</v>
      </c>
      <c r="K1098" t="s">
        <v>2835</v>
      </c>
      <c r="L1098">
        <v>22</v>
      </c>
      <c r="M1098">
        <v>0.79300000000000004</v>
      </c>
      <c r="N1098">
        <v>104.83799999999999</v>
      </c>
      <c r="O1098">
        <v>0</v>
      </c>
      <c r="P1098">
        <v>0</v>
      </c>
      <c r="Q1098">
        <v>15</v>
      </c>
      <c r="R1098" t="s">
        <v>2241</v>
      </c>
      <c r="S1098" t="s">
        <v>2836</v>
      </c>
      <c r="T1098">
        <f>I1098*-0.5+M1098*0.5</f>
        <v>-5.5499999999999994E-2</v>
      </c>
      <c r="U1098">
        <f>I1098*0.7+M1098*-0.25+D1098*-0.25</f>
        <v>0.30530000000000002</v>
      </c>
      <c r="V1098">
        <f>J1098*0.5+I1098*-0.5</f>
        <v>-0.29000000000000004</v>
      </c>
      <c r="W1098">
        <f>M1098*0.5+G1098*0.25+I1098*0.25</f>
        <v>0.8095</v>
      </c>
    </row>
    <row r="1099" spans="1:23" x14ac:dyDescent="0.2">
      <c r="A1099">
        <v>7.3099999999999998E-2</v>
      </c>
      <c r="B1099">
        <v>0</v>
      </c>
      <c r="C1099">
        <v>4</v>
      </c>
      <c r="D1099">
        <v>0.14899999999999999</v>
      </c>
      <c r="E1099">
        <v>-3.65</v>
      </c>
      <c r="F1099">
        <v>185200</v>
      </c>
      <c r="G1099">
        <v>0.76100000000000001</v>
      </c>
      <c r="H1099">
        <v>183</v>
      </c>
      <c r="I1099">
        <v>0.96799999999999997</v>
      </c>
      <c r="J1099">
        <v>0.02</v>
      </c>
      <c r="K1099" t="s">
        <v>2164</v>
      </c>
      <c r="L1099">
        <v>46</v>
      </c>
      <c r="M1099">
        <v>0.85599999999999998</v>
      </c>
      <c r="N1099">
        <v>106.009</v>
      </c>
      <c r="O1099">
        <v>0</v>
      </c>
      <c r="P1099">
        <v>0</v>
      </c>
      <c r="Q1099">
        <v>5</v>
      </c>
      <c r="R1099" t="s">
        <v>2165</v>
      </c>
      <c r="S1099" t="s">
        <v>2166</v>
      </c>
      <c r="T1099">
        <f>I1099*-0.5+M1099*0.5</f>
        <v>-5.5999999999999994E-2</v>
      </c>
      <c r="U1099">
        <f>I1099*0.7+M1099*-0.25+D1099*-0.25</f>
        <v>0.42635000000000001</v>
      </c>
      <c r="V1099">
        <f>J1099*0.5+I1099*-0.5</f>
        <v>-0.47399999999999998</v>
      </c>
      <c r="W1099">
        <f>M1099*0.5+G1099*0.25+I1099*0.25</f>
        <v>0.86024999999999996</v>
      </c>
    </row>
    <row r="1100" spans="1:23" x14ac:dyDescent="0.2">
      <c r="A1100">
        <v>2.9899999999999999E-2</v>
      </c>
      <c r="B1100">
        <v>2</v>
      </c>
      <c r="C1100">
        <v>4</v>
      </c>
      <c r="D1100">
        <v>8.0399999999999999E-2</v>
      </c>
      <c r="E1100">
        <v>-7.2839999999999998</v>
      </c>
      <c r="F1100">
        <v>239440</v>
      </c>
      <c r="G1100">
        <v>0.59299999999999997</v>
      </c>
      <c r="H1100">
        <v>236</v>
      </c>
      <c r="I1100">
        <v>0.755</v>
      </c>
      <c r="J1100">
        <v>0.313</v>
      </c>
      <c r="K1100" t="s">
        <v>2893</v>
      </c>
      <c r="L1100">
        <v>4</v>
      </c>
      <c r="M1100">
        <v>0.64200000000000002</v>
      </c>
      <c r="N1100">
        <v>76.403000000000006</v>
      </c>
      <c r="O1100">
        <v>5.8200000000000005E-4</v>
      </c>
      <c r="P1100">
        <v>1</v>
      </c>
      <c r="Q1100">
        <v>16</v>
      </c>
      <c r="R1100" t="s">
        <v>2894</v>
      </c>
      <c r="S1100" t="s">
        <v>2895</v>
      </c>
      <c r="T1100">
        <f>I1100*-0.5+M1100*0.5</f>
        <v>-5.6499999999999995E-2</v>
      </c>
      <c r="U1100">
        <f>I1100*0.7+M1100*-0.25+D1100*-0.25</f>
        <v>0.34789999999999999</v>
      </c>
      <c r="V1100">
        <f>J1100*0.5+I1100*-0.5</f>
        <v>-0.221</v>
      </c>
      <c r="W1100">
        <f>M1100*0.5+G1100*0.25+I1100*0.25</f>
        <v>0.65800000000000003</v>
      </c>
    </row>
    <row r="1101" spans="1:23" x14ac:dyDescent="0.2">
      <c r="A1101">
        <v>0.23200000000000001</v>
      </c>
      <c r="B1101">
        <v>6</v>
      </c>
      <c r="C1101">
        <v>4</v>
      </c>
      <c r="D1101">
        <v>0.307</v>
      </c>
      <c r="E1101">
        <v>-7.3209999999999997</v>
      </c>
      <c r="F1101">
        <v>177685</v>
      </c>
      <c r="G1101">
        <v>0.76</v>
      </c>
      <c r="H1101">
        <v>176</v>
      </c>
      <c r="I1101">
        <v>0.76600000000000001</v>
      </c>
      <c r="J1101">
        <v>3.4799999999999998E-2</v>
      </c>
      <c r="K1101" t="s">
        <v>2457</v>
      </c>
      <c r="L1101">
        <v>50</v>
      </c>
      <c r="M1101">
        <v>0.65200000000000002</v>
      </c>
      <c r="N1101">
        <v>100.315</v>
      </c>
      <c r="O1101">
        <v>0</v>
      </c>
      <c r="P1101">
        <v>1</v>
      </c>
      <c r="Q1101">
        <v>7</v>
      </c>
      <c r="R1101" t="s">
        <v>2458</v>
      </c>
      <c r="S1101" t="s">
        <v>2459</v>
      </c>
      <c r="T1101">
        <f>I1101*-0.5+M1101*0.5</f>
        <v>-5.6999999999999995E-2</v>
      </c>
      <c r="U1101">
        <f>I1101*0.7+M1101*-0.25+D1101*-0.25</f>
        <v>0.29644999999999999</v>
      </c>
      <c r="V1101">
        <f>J1101*0.5+I1101*-0.5</f>
        <v>-0.36560000000000004</v>
      </c>
      <c r="W1101">
        <f>M1101*0.5+G1101*0.25+I1101*0.25</f>
        <v>0.70750000000000002</v>
      </c>
    </row>
    <row r="1102" spans="1:23" x14ac:dyDescent="0.2">
      <c r="A1102">
        <v>5.04E-2</v>
      </c>
      <c r="B1102">
        <v>5</v>
      </c>
      <c r="C1102">
        <v>4</v>
      </c>
      <c r="D1102">
        <v>5.8000000000000003E-2</v>
      </c>
      <c r="E1102">
        <v>-7.2679999999999998</v>
      </c>
      <c r="F1102">
        <v>275107</v>
      </c>
      <c r="G1102">
        <v>0.68400000000000005</v>
      </c>
      <c r="H1102">
        <v>228</v>
      </c>
      <c r="I1102">
        <v>0.72199999999999998</v>
      </c>
      <c r="J1102">
        <v>0.17</v>
      </c>
      <c r="K1102" t="s">
        <v>2757</v>
      </c>
      <c r="L1102">
        <v>26</v>
      </c>
      <c r="M1102">
        <v>0.60599999999999998</v>
      </c>
      <c r="N1102">
        <v>127.901</v>
      </c>
      <c r="O1102">
        <v>0</v>
      </c>
      <c r="P1102">
        <v>0</v>
      </c>
      <c r="Q1102">
        <v>9</v>
      </c>
      <c r="R1102" t="s">
        <v>2758</v>
      </c>
      <c r="S1102" t="s">
        <v>2759</v>
      </c>
      <c r="T1102">
        <f>I1102*-0.5+M1102*0.5</f>
        <v>-5.7999999999999996E-2</v>
      </c>
      <c r="U1102">
        <f>I1102*0.7+M1102*-0.25+D1102*-0.25</f>
        <v>0.33939999999999998</v>
      </c>
      <c r="V1102">
        <f>J1102*0.5+I1102*-0.5</f>
        <v>-0.27599999999999997</v>
      </c>
      <c r="W1102">
        <f>M1102*0.5+G1102*0.25+I1102*0.25</f>
        <v>0.65449999999999997</v>
      </c>
    </row>
    <row r="1103" spans="1:23" x14ac:dyDescent="0.2">
      <c r="A1103">
        <v>5.6500000000000002E-2</v>
      </c>
      <c r="B1103">
        <v>7</v>
      </c>
      <c r="C1103">
        <v>4</v>
      </c>
      <c r="D1103">
        <v>0.13400000000000001</v>
      </c>
      <c r="E1103">
        <v>-7.3250000000000002</v>
      </c>
      <c r="F1103">
        <v>217800</v>
      </c>
      <c r="G1103">
        <v>0.71199999999999997</v>
      </c>
      <c r="H1103">
        <v>216</v>
      </c>
      <c r="I1103">
        <v>0.63700000000000001</v>
      </c>
      <c r="J1103">
        <v>3.8199999999999998E-2</v>
      </c>
      <c r="K1103" t="s">
        <v>2587</v>
      </c>
      <c r="L1103">
        <v>50</v>
      </c>
      <c r="M1103">
        <v>0.52</v>
      </c>
      <c r="N1103">
        <v>98.096000000000004</v>
      </c>
      <c r="O1103">
        <v>0</v>
      </c>
      <c r="P1103">
        <v>1</v>
      </c>
      <c r="Q1103">
        <v>10</v>
      </c>
      <c r="R1103" t="s">
        <v>2588</v>
      </c>
      <c r="S1103" t="s">
        <v>1080</v>
      </c>
      <c r="T1103">
        <f>I1103*-0.5+M1103*0.5</f>
        <v>-5.8499999999999996E-2</v>
      </c>
      <c r="U1103">
        <f>I1103*0.7+M1103*-0.25+D1103*-0.25</f>
        <v>0.28239999999999998</v>
      </c>
      <c r="V1103">
        <f>J1103*0.5+I1103*-0.5</f>
        <v>-0.2994</v>
      </c>
      <c r="W1103">
        <f>M1103*0.5+G1103*0.25+I1103*0.25</f>
        <v>0.59725000000000006</v>
      </c>
    </row>
    <row r="1104" spans="1:23" x14ac:dyDescent="0.2">
      <c r="A1104">
        <v>3.4599999999999999E-2</v>
      </c>
      <c r="B1104">
        <v>1</v>
      </c>
      <c r="C1104">
        <v>4</v>
      </c>
      <c r="D1104">
        <v>8.48E-2</v>
      </c>
      <c r="E1104">
        <v>-7.0890000000000004</v>
      </c>
      <c r="F1104">
        <v>235493</v>
      </c>
      <c r="G1104">
        <v>0.751</v>
      </c>
      <c r="H1104">
        <v>232</v>
      </c>
      <c r="I1104">
        <v>0.88500000000000001</v>
      </c>
      <c r="J1104">
        <v>5.1999999999999998E-2</v>
      </c>
      <c r="K1104" t="s">
        <v>2356</v>
      </c>
      <c r="L1104">
        <v>54</v>
      </c>
      <c r="M1104">
        <v>0.76800000000000002</v>
      </c>
      <c r="N1104">
        <v>120.084</v>
      </c>
      <c r="O1104">
        <v>0</v>
      </c>
      <c r="P1104">
        <v>1</v>
      </c>
      <c r="Q1104">
        <v>3</v>
      </c>
      <c r="R1104" t="s">
        <v>108</v>
      </c>
      <c r="S1104" t="s">
        <v>1192</v>
      </c>
      <c r="T1104">
        <f>I1104*-0.5+M1104*0.5</f>
        <v>-5.8499999999999996E-2</v>
      </c>
      <c r="U1104">
        <f>I1104*0.7+M1104*-0.25+D1104*-0.25</f>
        <v>0.40629999999999994</v>
      </c>
      <c r="V1104">
        <f>J1104*0.5+I1104*-0.5</f>
        <v>-0.41649999999999998</v>
      </c>
      <c r="W1104">
        <f>M1104*0.5+G1104*0.25+I1104*0.25</f>
        <v>0.79299999999999993</v>
      </c>
    </row>
    <row r="1105" spans="1:23" x14ac:dyDescent="0.2">
      <c r="A1105">
        <v>4.4600000000000001E-2</v>
      </c>
      <c r="B1105">
        <v>11</v>
      </c>
      <c r="C1105">
        <v>4</v>
      </c>
      <c r="D1105">
        <v>5.7299999999999997E-2</v>
      </c>
      <c r="E1105">
        <v>-6.4459999999999997</v>
      </c>
      <c r="F1105">
        <v>232000</v>
      </c>
      <c r="G1105">
        <v>0.876</v>
      </c>
      <c r="H1105">
        <v>231</v>
      </c>
      <c r="I1105">
        <v>0.82899999999999996</v>
      </c>
      <c r="J1105">
        <v>2.3400000000000001E-2</v>
      </c>
      <c r="K1105" t="s">
        <v>2366</v>
      </c>
      <c r="L1105">
        <v>16</v>
      </c>
      <c r="M1105">
        <v>0.71</v>
      </c>
      <c r="N1105">
        <v>121.072</v>
      </c>
      <c r="O1105">
        <v>1.6100000000000001E-4</v>
      </c>
      <c r="P1105">
        <v>0</v>
      </c>
      <c r="Q1105">
        <v>4</v>
      </c>
      <c r="R1105" t="s">
        <v>2367</v>
      </c>
      <c r="S1105" t="s">
        <v>2368</v>
      </c>
      <c r="T1105">
        <f>I1105*-0.5+M1105*0.5</f>
        <v>-5.9499999999999997E-2</v>
      </c>
      <c r="U1105">
        <f>I1105*0.7+M1105*-0.25+D1105*-0.25</f>
        <v>0.38847499999999996</v>
      </c>
      <c r="V1105">
        <f>J1105*0.5+I1105*-0.5</f>
        <v>-0.40279999999999999</v>
      </c>
      <c r="W1105">
        <f>M1105*0.5+G1105*0.25+I1105*0.25</f>
        <v>0.78125</v>
      </c>
    </row>
    <row r="1106" spans="1:23" x14ac:dyDescent="0.2">
      <c r="A1106">
        <v>0.106</v>
      </c>
      <c r="B1106">
        <v>5</v>
      </c>
      <c r="C1106">
        <v>4</v>
      </c>
      <c r="D1106">
        <v>0.107</v>
      </c>
      <c r="E1106">
        <v>-3.5790000000000002</v>
      </c>
      <c r="F1106">
        <v>203600</v>
      </c>
      <c r="G1106">
        <v>0.84699999999999998</v>
      </c>
      <c r="H1106">
        <v>203</v>
      </c>
      <c r="I1106">
        <v>0.96199999999999997</v>
      </c>
      <c r="J1106">
        <v>0.41499999999999998</v>
      </c>
      <c r="K1106" t="s">
        <v>2904</v>
      </c>
      <c r="L1106">
        <v>9</v>
      </c>
      <c r="M1106">
        <v>0.84299999999999997</v>
      </c>
      <c r="N1106">
        <v>110.027</v>
      </c>
      <c r="O1106">
        <v>1.34E-4</v>
      </c>
      <c r="P1106">
        <v>0</v>
      </c>
      <c r="Q1106">
        <v>2</v>
      </c>
      <c r="R1106" t="s">
        <v>623</v>
      </c>
      <c r="S1106" t="s">
        <v>2905</v>
      </c>
      <c r="T1106">
        <f>I1106*-0.5+M1106*0.5</f>
        <v>-5.9499999999999997E-2</v>
      </c>
      <c r="U1106">
        <f>I1106*0.7+M1106*-0.25+D1106*-0.25</f>
        <v>0.4358999999999999</v>
      </c>
      <c r="V1106">
        <f>J1106*0.5+I1106*-0.5</f>
        <v>-0.27349999999999997</v>
      </c>
      <c r="W1106">
        <f>M1106*0.5+G1106*0.25+I1106*0.25</f>
        <v>0.87375000000000003</v>
      </c>
    </row>
    <row r="1107" spans="1:23" x14ac:dyDescent="0.2">
      <c r="A1107">
        <v>4.3400000000000001E-2</v>
      </c>
      <c r="B1107">
        <v>0</v>
      </c>
      <c r="C1107">
        <v>4</v>
      </c>
      <c r="D1107">
        <v>8.7999999999999995E-2</v>
      </c>
      <c r="E1107">
        <v>-8.6479999999999997</v>
      </c>
      <c r="F1107">
        <v>213827</v>
      </c>
      <c r="G1107">
        <v>0.61199999999999999</v>
      </c>
      <c r="H1107">
        <v>211</v>
      </c>
      <c r="I1107">
        <v>0.4</v>
      </c>
      <c r="J1107">
        <v>0.93200000000000005</v>
      </c>
      <c r="K1107" t="s">
        <v>3149</v>
      </c>
      <c r="L1107">
        <v>47</v>
      </c>
      <c r="M1107">
        <v>0.28000000000000003</v>
      </c>
      <c r="N1107">
        <v>72.795000000000002</v>
      </c>
      <c r="O1107">
        <v>0</v>
      </c>
      <c r="P1107">
        <v>1</v>
      </c>
      <c r="Q1107">
        <v>6</v>
      </c>
      <c r="R1107" t="s">
        <v>504</v>
      </c>
      <c r="S1107" t="s">
        <v>3150</v>
      </c>
      <c r="T1107">
        <f>I1107*-0.5+M1107*0.5</f>
        <v>-0.06</v>
      </c>
      <c r="U1107">
        <f>I1107*0.7+M1107*-0.25+D1107*-0.25</f>
        <v>0.18799999999999997</v>
      </c>
      <c r="V1107">
        <f>J1107*0.5+I1107*-0.5</f>
        <v>0.26600000000000001</v>
      </c>
      <c r="W1107">
        <f>M1107*0.5+G1107*0.25+I1107*0.25</f>
        <v>0.39300000000000002</v>
      </c>
    </row>
    <row r="1108" spans="1:23" x14ac:dyDescent="0.2">
      <c r="A1108">
        <v>4.6399999999999997E-2</v>
      </c>
      <c r="B1108">
        <v>7</v>
      </c>
      <c r="C1108">
        <v>4</v>
      </c>
      <c r="D1108">
        <v>0.111</v>
      </c>
      <c r="E1108">
        <v>-5.4020000000000001</v>
      </c>
      <c r="F1108">
        <v>182667</v>
      </c>
      <c r="G1108">
        <v>0.77500000000000002</v>
      </c>
      <c r="H1108">
        <v>179</v>
      </c>
      <c r="I1108">
        <v>0.94499999999999995</v>
      </c>
      <c r="J1108">
        <v>5.0599999999999999E-2</v>
      </c>
      <c r="K1108" t="s">
        <v>2306</v>
      </c>
      <c r="L1108">
        <v>53</v>
      </c>
      <c r="M1108">
        <v>0.82499999999999996</v>
      </c>
      <c r="N1108">
        <v>139.09100000000001</v>
      </c>
      <c r="O1108" s="1">
        <v>1.0300000000000001E-6</v>
      </c>
      <c r="P1108">
        <v>1</v>
      </c>
      <c r="Q1108">
        <v>2</v>
      </c>
      <c r="R1108" t="s">
        <v>1300</v>
      </c>
      <c r="S1108" t="s">
        <v>2307</v>
      </c>
      <c r="T1108">
        <f>I1108*-0.5+M1108*0.5</f>
        <v>-0.06</v>
      </c>
      <c r="U1108">
        <f>I1108*0.7+M1108*-0.25+D1108*-0.25</f>
        <v>0.42749999999999999</v>
      </c>
      <c r="V1108">
        <f>J1108*0.5+I1108*-0.5</f>
        <v>-0.44719999999999999</v>
      </c>
      <c r="W1108">
        <f>M1108*0.5+G1108*0.25+I1108*0.25</f>
        <v>0.84249999999999992</v>
      </c>
    </row>
    <row r="1109" spans="1:23" x14ac:dyDescent="0.2">
      <c r="A1109">
        <v>2.5499999999999998E-2</v>
      </c>
      <c r="B1109">
        <v>2</v>
      </c>
      <c r="C1109">
        <v>4</v>
      </c>
      <c r="D1109">
        <v>0.185</v>
      </c>
      <c r="E1109">
        <v>-5.9349999999999996</v>
      </c>
      <c r="F1109">
        <v>263387</v>
      </c>
      <c r="G1109">
        <v>0.69199999999999995</v>
      </c>
      <c r="H1109">
        <v>260</v>
      </c>
      <c r="I1109">
        <v>0.93</v>
      </c>
      <c r="J1109">
        <v>0.1</v>
      </c>
      <c r="K1109" t="s">
        <v>2426</v>
      </c>
      <c r="L1109">
        <v>42</v>
      </c>
      <c r="M1109">
        <v>0.80900000000000005</v>
      </c>
      <c r="N1109">
        <v>104.023</v>
      </c>
      <c r="O1109" s="1">
        <v>9.7700000000000003E-5</v>
      </c>
      <c r="P1109">
        <v>1</v>
      </c>
      <c r="Q1109">
        <v>15</v>
      </c>
      <c r="R1109" t="s">
        <v>2427</v>
      </c>
      <c r="S1109" t="s">
        <v>2428</v>
      </c>
      <c r="T1109">
        <f>I1109*-0.5+M1109*0.5</f>
        <v>-6.0499999999999998E-2</v>
      </c>
      <c r="U1109">
        <f>I1109*0.7+M1109*-0.25+D1109*-0.25</f>
        <v>0.40249999999999997</v>
      </c>
      <c r="V1109">
        <f>J1109*0.5+I1109*-0.5</f>
        <v>-0.41500000000000004</v>
      </c>
      <c r="W1109">
        <f>M1109*0.5+G1109*0.25+I1109*0.25</f>
        <v>0.81</v>
      </c>
    </row>
    <row r="1110" spans="1:23" x14ac:dyDescent="0.2">
      <c r="A1110">
        <v>3.0200000000000001E-2</v>
      </c>
      <c r="B1110">
        <v>0</v>
      </c>
      <c r="C1110">
        <v>3</v>
      </c>
      <c r="D1110">
        <v>0.113</v>
      </c>
      <c r="E1110">
        <v>-10.233000000000001</v>
      </c>
      <c r="F1110">
        <v>193320</v>
      </c>
      <c r="G1110">
        <v>0.51300000000000001</v>
      </c>
      <c r="H1110">
        <v>193</v>
      </c>
      <c r="I1110">
        <v>0.34200000000000003</v>
      </c>
      <c r="J1110">
        <v>0.82199999999999995</v>
      </c>
      <c r="K1110" t="s">
        <v>3141</v>
      </c>
      <c r="L1110">
        <v>55</v>
      </c>
      <c r="M1110">
        <v>0.221</v>
      </c>
      <c r="N1110">
        <v>173.86500000000001</v>
      </c>
      <c r="O1110">
        <v>0</v>
      </c>
      <c r="P1110">
        <v>1</v>
      </c>
      <c r="Q1110">
        <v>16</v>
      </c>
      <c r="R1110" t="s">
        <v>2866</v>
      </c>
      <c r="S1110" t="s">
        <v>3142</v>
      </c>
      <c r="T1110">
        <f>I1110*-0.5+M1110*0.5</f>
        <v>-6.0500000000000012E-2</v>
      </c>
      <c r="U1110">
        <f>I1110*0.7+M1110*-0.25+D1110*-0.25</f>
        <v>0.15590000000000001</v>
      </c>
      <c r="V1110">
        <f>J1110*0.5+I1110*-0.5</f>
        <v>0.23999999999999996</v>
      </c>
      <c r="W1110">
        <f>M1110*0.5+G1110*0.25+I1110*0.25</f>
        <v>0.32425000000000004</v>
      </c>
    </row>
    <row r="1111" spans="1:23" x14ac:dyDescent="0.2">
      <c r="A1111">
        <v>5.8500000000000003E-2</v>
      </c>
      <c r="B1111">
        <v>1</v>
      </c>
      <c r="C1111">
        <v>4</v>
      </c>
      <c r="D1111">
        <v>5.2699999999999997E-2</v>
      </c>
      <c r="E1111">
        <v>-2.7320000000000002</v>
      </c>
      <c r="F1111">
        <v>227147</v>
      </c>
      <c r="G1111">
        <v>0.76500000000000001</v>
      </c>
      <c r="H1111">
        <v>225</v>
      </c>
      <c r="I1111">
        <v>0.88700000000000001</v>
      </c>
      <c r="J1111">
        <v>7.6499999999999997E-3</v>
      </c>
      <c r="K1111" t="s">
        <v>2276</v>
      </c>
      <c r="L1111">
        <v>42</v>
      </c>
      <c r="M1111">
        <v>0.76500000000000001</v>
      </c>
      <c r="N1111">
        <v>120.001</v>
      </c>
      <c r="O1111" s="1">
        <v>3.8199999999999998E-6</v>
      </c>
      <c r="P1111">
        <v>0</v>
      </c>
      <c r="Q1111">
        <v>3</v>
      </c>
      <c r="R1111" t="s">
        <v>796</v>
      </c>
      <c r="S1111" t="s">
        <v>2277</v>
      </c>
      <c r="T1111">
        <f>I1111*-0.5+M1111*0.5</f>
        <v>-6.0999999999999999E-2</v>
      </c>
      <c r="U1111">
        <f>I1111*0.7+M1111*-0.25+D1111*-0.25</f>
        <v>0.41647499999999998</v>
      </c>
      <c r="V1111">
        <f>J1111*0.5+I1111*-0.5</f>
        <v>-0.43967499999999998</v>
      </c>
      <c r="W1111">
        <f>M1111*0.5+G1111*0.25+I1111*0.25</f>
        <v>0.79549999999999998</v>
      </c>
    </row>
    <row r="1112" spans="1:23" x14ac:dyDescent="0.2">
      <c r="A1112">
        <v>0.16900000000000001</v>
      </c>
      <c r="B1112">
        <v>2</v>
      </c>
      <c r="C1112">
        <v>4</v>
      </c>
      <c r="D1112">
        <v>0.495</v>
      </c>
      <c r="E1112">
        <v>-5.5590000000000002</v>
      </c>
      <c r="F1112">
        <v>226293</v>
      </c>
      <c r="G1112">
        <v>0.82599999999999996</v>
      </c>
      <c r="H1112">
        <v>220</v>
      </c>
      <c r="I1112">
        <v>0.79400000000000004</v>
      </c>
      <c r="J1112">
        <v>7.9799999999999992E-3</v>
      </c>
      <c r="K1112" t="s">
        <v>2399</v>
      </c>
      <c r="L1112">
        <v>23</v>
      </c>
      <c r="M1112">
        <v>0.67</v>
      </c>
      <c r="N1112">
        <v>74.007000000000005</v>
      </c>
      <c r="O1112">
        <v>0</v>
      </c>
      <c r="P1112">
        <v>1</v>
      </c>
      <c r="Q1112">
        <v>7</v>
      </c>
      <c r="R1112" t="s">
        <v>2400</v>
      </c>
      <c r="S1112" t="s">
        <v>2401</v>
      </c>
      <c r="T1112">
        <f>I1112*-0.5+M1112*0.5</f>
        <v>-6.2E-2</v>
      </c>
      <c r="U1112">
        <f>I1112*0.7+M1112*-0.25+D1112*-0.25</f>
        <v>0.26454999999999995</v>
      </c>
      <c r="V1112">
        <f>J1112*0.5+I1112*-0.5</f>
        <v>-0.39301000000000003</v>
      </c>
      <c r="W1112">
        <f>M1112*0.5+G1112*0.25+I1112*0.25</f>
        <v>0.74</v>
      </c>
    </row>
    <row r="1113" spans="1:23" x14ac:dyDescent="0.2">
      <c r="A1113">
        <v>0.27800000000000002</v>
      </c>
      <c r="B1113">
        <v>5</v>
      </c>
      <c r="C1113">
        <v>4</v>
      </c>
      <c r="D1113">
        <v>0.30099999999999999</v>
      </c>
      <c r="E1113">
        <v>-6.0069999999999997</v>
      </c>
      <c r="F1113">
        <v>245063</v>
      </c>
      <c r="G1113">
        <v>0.60699999999999998</v>
      </c>
      <c r="H1113">
        <v>208</v>
      </c>
      <c r="I1113">
        <v>0.83799999999999997</v>
      </c>
      <c r="J1113">
        <v>0.20499999999999999</v>
      </c>
      <c r="K1113" t="s">
        <v>2735</v>
      </c>
      <c r="L1113">
        <v>10</v>
      </c>
      <c r="M1113">
        <v>0.71399999999999997</v>
      </c>
      <c r="N1113">
        <v>96.619</v>
      </c>
      <c r="O1113">
        <v>0</v>
      </c>
      <c r="P1113">
        <v>0</v>
      </c>
      <c r="Q1113">
        <v>11</v>
      </c>
      <c r="R1113" t="s">
        <v>2736</v>
      </c>
      <c r="S1113" t="s">
        <v>2737</v>
      </c>
      <c r="T1113">
        <f>I1113*-0.5+M1113*0.5</f>
        <v>-6.2E-2</v>
      </c>
      <c r="U1113">
        <f>I1113*0.7+M1113*-0.25+D1113*-0.25</f>
        <v>0.33284999999999992</v>
      </c>
      <c r="V1113">
        <f>J1113*0.5+I1113*-0.5</f>
        <v>-0.3165</v>
      </c>
      <c r="W1113">
        <f>M1113*0.5+G1113*0.25+I1113*0.25</f>
        <v>0.71825000000000006</v>
      </c>
    </row>
    <row r="1114" spans="1:23" x14ac:dyDescent="0.2">
      <c r="A1114">
        <v>0.193</v>
      </c>
      <c r="B1114">
        <v>5</v>
      </c>
      <c r="C1114">
        <v>4</v>
      </c>
      <c r="D1114">
        <v>0.13700000000000001</v>
      </c>
      <c r="E1114">
        <v>-3.2189999999999999</v>
      </c>
      <c r="F1114">
        <v>272533</v>
      </c>
      <c r="G1114">
        <v>0.83499999999999996</v>
      </c>
      <c r="H1114">
        <v>229</v>
      </c>
      <c r="I1114">
        <v>0.83099999999999996</v>
      </c>
      <c r="J1114">
        <v>0.104</v>
      </c>
      <c r="K1114" t="s">
        <v>2546</v>
      </c>
      <c r="L1114">
        <v>14</v>
      </c>
      <c r="M1114">
        <v>0.70599999999999996</v>
      </c>
      <c r="N1114">
        <v>94.085999999999999</v>
      </c>
      <c r="O1114">
        <v>0</v>
      </c>
      <c r="P1114">
        <v>1</v>
      </c>
      <c r="Q1114">
        <v>2</v>
      </c>
      <c r="R1114" t="s">
        <v>2547</v>
      </c>
      <c r="S1114" t="s">
        <v>2548</v>
      </c>
      <c r="T1114">
        <f>I1114*-0.5+M1114*0.5</f>
        <v>-6.25E-2</v>
      </c>
      <c r="U1114">
        <f>I1114*0.7+M1114*-0.25+D1114*-0.25</f>
        <v>0.37094999999999989</v>
      </c>
      <c r="V1114">
        <f>J1114*0.5+I1114*-0.5</f>
        <v>-0.36349999999999999</v>
      </c>
      <c r="W1114">
        <f>M1114*0.5+G1114*0.25+I1114*0.25</f>
        <v>0.76949999999999996</v>
      </c>
    </row>
    <row r="1115" spans="1:23" x14ac:dyDescent="0.2">
      <c r="A1115">
        <v>0.253</v>
      </c>
      <c r="B1115">
        <v>2</v>
      </c>
      <c r="C1115">
        <v>4</v>
      </c>
      <c r="D1115">
        <v>5.91E-2</v>
      </c>
      <c r="E1115">
        <v>-3.9769999999999999</v>
      </c>
      <c r="F1115">
        <v>249800</v>
      </c>
      <c r="G1115">
        <v>0.86599999999999999</v>
      </c>
      <c r="H1115">
        <v>216</v>
      </c>
      <c r="I1115">
        <v>0.878</v>
      </c>
      <c r="J1115">
        <v>0.15</v>
      </c>
      <c r="K1115" t="s">
        <v>2604</v>
      </c>
      <c r="L1115">
        <v>14</v>
      </c>
      <c r="M1115">
        <v>0.749</v>
      </c>
      <c r="N1115">
        <v>92.076999999999998</v>
      </c>
      <c r="O1115">
        <v>0</v>
      </c>
      <c r="P1115">
        <v>1</v>
      </c>
      <c r="Q1115">
        <v>5</v>
      </c>
      <c r="R1115" t="s">
        <v>2605</v>
      </c>
      <c r="S1115" t="s">
        <v>2606</v>
      </c>
      <c r="T1115">
        <f>I1115*-0.5+M1115*0.5</f>
        <v>-6.4500000000000002E-2</v>
      </c>
      <c r="U1115">
        <f>I1115*0.7+M1115*-0.25+D1115*-0.25</f>
        <v>0.41257499999999991</v>
      </c>
      <c r="V1115">
        <f>J1115*0.5+I1115*-0.5</f>
        <v>-0.36399999999999999</v>
      </c>
      <c r="W1115">
        <f>M1115*0.5+G1115*0.25+I1115*0.25</f>
        <v>0.8105</v>
      </c>
    </row>
    <row r="1116" spans="1:23" x14ac:dyDescent="0.2">
      <c r="A1116">
        <v>2.9000000000000001E-2</v>
      </c>
      <c r="B1116">
        <v>9</v>
      </c>
      <c r="C1116">
        <v>4</v>
      </c>
      <c r="D1116">
        <v>0.76100000000000001</v>
      </c>
      <c r="E1116">
        <v>-4.1619999999999999</v>
      </c>
      <c r="F1116">
        <v>209453</v>
      </c>
      <c r="G1116">
        <v>0.72899999999999998</v>
      </c>
      <c r="H1116">
        <v>206</v>
      </c>
      <c r="I1116">
        <v>0.94799999999999995</v>
      </c>
      <c r="J1116">
        <v>0.14699999999999999</v>
      </c>
      <c r="K1116" t="s">
        <v>2534</v>
      </c>
      <c r="L1116">
        <v>46</v>
      </c>
      <c r="M1116">
        <v>0.81899999999999995</v>
      </c>
      <c r="N1116">
        <v>115.982</v>
      </c>
      <c r="O1116">
        <v>0</v>
      </c>
      <c r="P1116">
        <v>1</v>
      </c>
      <c r="Q1116">
        <v>12</v>
      </c>
      <c r="R1116" t="s">
        <v>89</v>
      </c>
      <c r="S1116" t="s">
        <v>2535</v>
      </c>
      <c r="T1116">
        <f>I1116*-0.5+M1116*0.5</f>
        <v>-6.4500000000000002E-2</v>
      </c>
      <c r="U1116">
        <f>I1116*0.7+M1116*-0.25+D1116*-0.25</f>
        <v>0.26859999999999995</v>
      </c>
      <c r="V1116">
        <f>J1116*0.5+I1116*-0.5</f>
        <v>-0.40049999999999997</v>
      </c>
      <c r="W1116">
        <f>M1116*0.5+G1116*0.25+I1116*0.25</f>
        <v>0.82874999999999999</v>
      </c>
    </row>
    <row r="1117" spans="1:23" x14ac:dyDescent="0.2">
      <c r="A1117">
        <v>3.5099999999999999E-2</v>
      </c>
      <c r="B1117">
        <v>1</v>
      </c>
      <c r="C1117">
        <v>4</v>
      </c>
      <c r="D1117">
        <v>8.3799999999999999E-2</v>
      </c>
      <c r="E1117">
        <v>-6.3310000000000004</v>
      </c>
      <c r="F1117">
        <v>211675</v>
      </c>
      <c r="G1117">
        <v>0.56200000000000006</v>
      </c>
      <c r="H1117">
        <v>210</v>
      </c>
      <c r="I1117">
        <v>0.38200000000000001</v>
      </c>
      <c r="J1117">
        <v>0.90400000000000003</v>
      </c>
      <c r="K1117" t="s">
        <v>3147</v>
      </c>
      <c r="L1117">
        <v>58</v>
      </c>
      <c r="M1117">
        <v>0.252</v>
      </c>
      <c r="N1117">
        <v>109.596</v>
      </c>
      <c r="O1117">
        <v>0</v>
      </c>
      <c r="P1117">
        <v>1</v>
      </c>
      <c r="Q1117">
        <v>1</v>
      </c>
      <c r="R1117" t="s">
        <v>211</v>
      </c>
      <c r="S1117" t="s">
        <v>3148</v>
      </c>
      <c r="T1117">
        <f>I1117*-0.5+M1117*0.5</f>
        <v>-6.5000000000000002E-2</v>
      </c>
      <c r="U1117">
        <f>I1117*0.7+M1117*-0.25+D1117*-0.25</f>
        <v>0.18344999999999997</v>
      </c>
      <c r="V1117">
        <f>J1117*0.5+I1117*-0.5</f>
        <v>0.26100000000000001</v>
      </c>
      <c r="W1117">
        <f>M1117*0.5+G1117*0.25+I1117*0.25</f>
        <v>0.36199999999999999</v>
      </c>
    </row>
    <row r="1118" spans="1:23" x14ac:dyDescent="0.2">
      <c r="A1118">
        <v>0.223</v>
      </c>
      <c r="B1118">
        <v>4</v>
      </c>
      <c r="C1118">
        <v>4</v>
      </c>
      <c r="D1118">
        <v>0.54600000000000004</v>
      </c>
      <c r="E1118">
        <v>-6.0179999999999998</v>
      </c>
      <c r="F1118">
        <v>276160</v>
      </c>
      <c r="G1118">
        <v>0.77100000000000002</v>
      </c>
      <c r="H1118">
        <v>277</v>
      </c>
      <c r="I1118">
        <v>0.80700000000000005</v>
      </c>
      <c r="J1118">
        <v>0.28499999999999998</v>
      </c>
      <c r="K1118" t="s">
        <v>2878</v>
      </c>
      <c r="L1118">
        <v>24</v>
      </c>
      <c r="M1118">
        <v>0.67600000000000005</v>
      </c>
      <c r="N1118">
        <v>119.997</v>
      </c>
      <c r="O1118" s="1">
        <v>4.4900000000000002E-6</v>
      </c>
      <c r="P1118">
        <v>0</v>
      </c>
      <c r="Q1118">
        <v>5</v>
      </c>
      <c r="R1118" t="s">
        <v>2879</v>
      </c>
      <c r="S1118" t="s">
        <v>2880</v>
      </c>
      <c r="T1118">
        <f>I1118*-0.5+M1118*0.5</f>
        <v>-6.5500000000000003E-2</v>
      </c>
      <c r="U1118">
        <f>I1118*0.7+M1118*-0.25+D1118*-0.25</f>
        <v>0.25939999999999991</v>
      </c>
      <c r="V1118">
        <f>J1118*0.5+I1118*-0.5</f>
        <v>-0.26100000000000001</v>
      </c>
      <c r="W1118">
        <f>M1118*0.5+G1118*0.25+I1118*0.25</f>
        <v>0.73250000000000004</v>
      </c>
    </row>
    <row r="1119" spans="1:23" x14ac:dyDescent="0.2">
      <c r="A1119">
        <v>0.1</v>
      </c>
      <c r="B1119">
        <v>11</v>
      </c>
      <c r="C1119">
        <v>4</v>
      </c>
      <c r="D1119">
        <v>0.47899999999999998</v>
      </c>
      <c r="E1119">
        <v>-5.8490000000000002</v>
      </c>
      <c r="F1119">
        <v>181240</v>
      </c>
      <c r="G1119">
        <v>0.93400000000000005</v>
      </c>
      <c r="H1119">
        <v>179</v>
      </c>
      <c r="I1119">
        <v>0.82499999999999996</v>
      </c>
      <c r="J1119">
        <v>9.6299999999999997E-2</v>
      </c>
      <c r="K1119" t="s">
        <v>2563</v>
      </c>
      <c r="L1119">
        <v>60</v>
      </c>
      <c r="M1119">
        <v>0.69399999999999995</v>
      </c>
      <c r="N1119">
        <v>123.822</v>
      </c>
      <c r="O1119" s="1">
        <v>1.2100000000000001E-6</v>
      </c>
      <c r="P1119">
        <v>0</v>
      </c>
      <c r="Q1119">
        <v>5</v>
      </c>
      <c r="R1119" t="s">
        <v>1300</v>
      </c>
      <c r="S1119" t="s">
        <v>2564</v>
      </c>
      <c r="T1119">
        <f>I1119*-0.5+M1119*0.5</f>
        <v>-6.5500000000000003E-2</v>
      </c>
      <c r="U1119">
        <f>I1119*0.7+M1119*-0.25+D1119*-0.25</f>
        <v>0.28424999999999989</v>
      </c>
      <c r="V1119">
        <f>J1119*0.5+I1119*-0.5</f>
        <v>-0.36434999999999995</v>
      </c>
      <c r="W1119">
        <f>M1119*0.5+G1119*0.25+I1119*0.25</f>
        <v>0.78675000000000006</v>
      </c>
    </row>
    <row r="1120" spans="1:23" x14ac:dyDescent="0.2">
      <c r="A1120">
        <v>2.7699999999999999E-2</v>
      </c>
      <c r="B1120">
        <v>9</v>
      </c>
      <c r="C1120">
        <v>4</v>
      </c>
      <c r="D1120">
        <v>0.81</v>
      </c>
      <c r="E1120">
        <v>-4.8559999999999999</v>
      </c>
      <c r="F1120">
        <v>210909</v>
      </c>
      <c r="G1120">
        <v>0.71499999999999997</v>
      </c>
      <c r="H1120">
        <v>210</v>
      </c>
      <c r="I1120">
        <v>0.83299999999999996</v>
      </c>
      <c r="J1120">
        <v>0.222</v>
      </c>
      <c r="K1120" t="s">
        <v>2779</v>
      </c>
      <c r="L1120">
        <v>58</v>
      </c>
      <c r="M1120">
        <v>0.70199999999999996</v>
      </c>
      <c r="N1120">
        <v>98.992999999999995</v>
      </c>
      <c r="O1120" s="1">
        <v>2.3300000000000001E-6</v>
      </c>
      <c r="P1120">
        <v>0</v>
      </c>
      <c r="Q1120">
        <v>21</v>
      </c>
      <c r="R1120" t="s">
        <v>2780</v>
      </c>
      <c r="S1120" t="s">
        <v>2781</v>
      </c>
      <c r="T1120">
        <f>I1120*-0.5+M1120*0.5</f>
        <v>-6.5500000000000003E-2</v>
      </c>
      <c r="U1120">
        <f>I1120*0.7+M1120*-0.25+D1120*-0.25</f>
        <v>0.20509999999999995</v>
      </c>
      <c r="V1120">
        <f>J1120*0.5+I1120*-0.5</f>
        <v>-0.30549999999999999</v>
      </c>
      <c r="W1120">
        <f>M1120*0.5+G1120*0.25+I1120*0.25</f>
        <v>0.73799999999999999</v>
      </c>
    </row>
    <row r="1121" spans="1:23" x14ac:dyDescent="0.2">
      <c r="A1121">
        <v>0.34</v>
      </c>
      <c r="B1121">
        <v>0</v>
      </c>
      <c r="C1121">
        <v>4</v>
      </c>
      <c r="D1121">
        <v>6.7500000000000004E-2</v>
      </c>
      <c r="E1121">
        <v>-4.96</v>
      </c>
      <c r="F1121">
        <v>248200</v>
      </c>
      <c r="G1121">
        <v>0.71099999999999997</v>
      </c>
      <c r="H1121">
        <v>247</v>
      </c>
      <c r="I1121">
        <v>0.86499999999999999</v>
      </c>
      <c r="J1121">
        <v>0.52600000000000002</v>
      </c>
      <c r="K1121" t="s">
        <v>3035</v>
      </c>
      <c r="L1121">
        <v>16</v>
      </c>
      <c r="M1121">
        <v>0.73299999999999998</v>
      </c>
      <c r="N1121">
        <v>172.92500000000001</v>
      </c>
      <c r="O1121">
        <v>0</v>
      </c>
      <c r="P1121">
        <v>0</v>
      </c>
      <c r="Q1121">
        <v>9</v>
      </c>
      <c r="R1121" t="s">
        <v>3036</v>
      </c>
      <c r="S1121" t="s">
        <v>3037</v>
      </c>
      <c r="T1121">
        <f>I1121*-0.5+M1121*0.5</f>
        <v>-6.6000000000000003E-2</v>
      </c>
      <c r="U1121">
        <f>I1121*0.7+M1121*-0.25+D1121*-0.25</f>
        <v>0.40537499999999993</v>
      </c>
      <c r="V1121">
        <f>J1121*0.5+I1121*-0.5</f>
        <v>-0.16949999999999998</v>
      </c>
      <c r="W1121">
        <f>M1121*0.5+G1121*0.25+I1121*0.25</f>
        <v>0.76049999999999995</v>
      </c>
    </row>
    <row r="1122" spans="1:23" x14ac:dyDescent="0.2">
      <c r="A1122">
        <v>3.0200000000000001E-2</v>
      </c>
      <c r="B1122">
        <v>1</v>
      </c>
      <c r="C1122">
        <v>4</v>
      </c>
      <c r="D1122">
        <v>6.3600000000000004E-2</v>
      </c>
      <c r="E1122">
        <v>-5.5010000000000003</v>
      </c>
      <c r="F1122">
        <v>189959</v>
      </c>
      <c r="G1122">
        <v>0.745</v>
      </c>
      <c r="H1122">
        <v>188</v>
      </c>
      <c r="I1122">
        <v>0.84699999999999998</v>
      </c>
      <c r="J1122">
        <v>1.83E-2</v>
      </c>
      <c r="K1122" t="s">
        <v>2392</v>
      </c>
      <c r="L1122">
        <v>52</v>
      </c>
      <c r="M1122">
        <v>0.71399999999999997</v>
      </c>
      <c r="N1122">
        <v>120.02500000000001</v>
      </c>
      <c r="O1122">
        <v>0</v>
      </c>
      <c r="P1122">
        <v>0</v>
      </c>
      <c r="Q1122">
        <v>11</v>
      </c>
      <c r="R1122" t="s">
        <v>108</v>
      </c>
      <c r="S1122" t="s">
        <v>2393</v>
      </c>
      <c r="T1122">
        <f>I1122*-0.5+M1122*0.5</f>
        <v>-6.6500000000000004E-2</v>
      </c>
      <c r="U1122">
        <f>I1122*0.7+M1122*-0.25+D1122*-0.25</f>
        <v>0.39849999999999997</v>
      </c>
      <c r="V1122">
        <f>J1122*0.5+I1122*-0.5</f>
        <v>-0.41435</v>
      </c>
      <c r="W1122">
        <f>M1122*0.5+G1122*0.25+I1122*0.25</f>
        <v>0.755</v>
      </c>
    </row>
    <row r="1123" spans="1:23" x14ac:dyDescent="0.2">
      <c r="A1123">
        <v>3.7600000000000001E-2</v>
      </c>
      <c r="B1123">
        <v>11</v>
      </c>
      <c r="C1123">
        <v>4</v>
      </c>
      <c r="D1123">
        <v>7.6100000000000001E-2</v>
      </c>
      <c r="E1123">
        <v>-7.4409999999999998</v>
      </c>
      <c r="F1123">
        <v>231573</v>
      </c>
      <c r="G1123">
        <v>0.85199999999999998</v>
      </c>
      <c r="H1123">
        <v>230</v>
      </c>
      <c r="I1123">
        <v>0.69299999999999995</v>
      </c>
      <c r="J1123">
        <v>0.16500000000000001</v>
      </c>
      <c r="K1123" t="s">
        <v>2808</v>
      </c>
      <c r="L1123">
        <v>32</v>
      </c>
      <c r="M1123">
        <v>0.55900000000000005</v>
      </c>
      <c r="N1123">
        <v>86.018000000000001</v>
      </c>
      <c r="O1123">
        <v>0</v>
      </c>
      <c r="P1123">
        <v>0</v>
      </c>
      <c r="Q1123">
        <v>8</v>
      </c>
      <c r="R1123" t="s">
        <v>2809</v>
      </c>
      <c r="S1123" t="s">
        <v>2810</v>
      </c>
      <c r="T1123">
        <f>I1123*-0.5+M1123*0.5</f>
        <v>-6.6999999999999948E-2</v>
      </c>
      <c r="U1123">
        <f>I1123*0.7+M1123*-0.25+D1123*-0.25</f>
        <v>0.32632499999999992</v>
      </c>
      <c r="V1123">
        <f>J1123*0.5+I1123*-0.5</f>
        <v>-0.26399999999999996</v>
      </c>
      <c r="W1123">
        <f>M1123*0.5+G1123*0.25+I1123*0.25</f>
        <v>0.66575000000000006</v>
      </c>
    </row>
    <row r="1124" spans="1:23" x14ac:dyDescent="0.2">
      <c r="A1124">
        <v>0.10100000000000001</v>
      </c>
      <c r="B1124">
        <v>2</v>
      </c>
      <c r="C1124">
        <v>4</v>
      </c>
      <c r="D1124">
        <v>9.5200000000000007E-2</v>
      </c>
      <c r="E1124">
        <v>-6.5259999999999998</v>
      </c>
      <c r="F1124">
        <v>278760</v>
      </c>
      <c r="G1124">
        <v>0.68200000000000005</v>
      </c>
      <c r="H1124">
        <v>278</v>
      </c>
      <c r="I1124">
        <v>0.71399999999999997</v>
      </c>
      <c r="J1124">
        <v>0.46700000000000003</v>
      </c>
      <c r="K1124" t="s">
        <v>3058</v>
      </c>
      <c r="L1124">
        <v>2</v>
      </c>
      <c r="M1124">
        <v>0.57899999999999996</v>
      </c>
      <c r="N1124">
        <v>76.915000000000006</v>
      </c>
      <c r="O1124" s="1">
        <v>2.21E-6</v>
      </c>
      <c r="P1124">
        <v>0</v>
      </c>
      <c r="Q1124">
        <v>13</v>
      </c>
      <c r="R1124" t="s">
        <v>2797</v>
      </c>
      <c r="S1124" t="s">
        <v>3059</v>
      </c>
      <c r="T1124">
        <f>I1124*-0.5+M1124*0.5</f>
        <v>-6.7500000000000004E-2</v>
      </c>
      <c r="U1124">
        <f>I1124*0.7+M1124*-0.25+D1124*-0.25</f>
        <v>0.33124999999999999</v>
      </c>
      <c r="V1124">
        <f>J1124*0.5+I1124*-0.5</f>
        <v>-0.12349999999999997</v>
      </c>
      <c r="W1124">
        <f>M1124*0.5+G1124*0.25+I1124*0.25</f>
        <v>0.63849999999999996</v>
      </c>
    </row>
    <row r="1125" spans="1:23" x14ac:dyDescent="0.2">
      <c r="A1125">
        <v>5.0999999999999997E-2</v>
      </c>
      <c r="B1125">
        <v>4</v>
      </c>
      <c r="C1125">
        <v>4</v>
      </c>
      <c r="D1125">
        <v>0.1</v>
      </c>
      <c r="E1125">
        <v>-2.84</v>
      </c>
      <c r="F1125">
        <v>190187</v>
      </c>
      <c r="G1125">
        <v>0.66</v>
      </c>
      <c r="H1125">
        <v>191</v>
      </c>
      <c r="I1125">
        <v>0.88900000000000001</v>
      </c>
      <c r="J1125">
        <v>6.2600000000000003E-2</v>
      </c>
      <c r="K1125" t="s">
        <v>2449</v>
      </c>
      <c r="L1125">
        <v>48</v>
      </c>
      <c r="M1125">
        <v>0.754</v>
      </c>
      <c r="N1125">
        <v>110.02</v>
      </c>
      <c r="O1125">
        <v>0</v>
      </c>
      <c r="P1125">
        <v>0</v>
      </c>
      <c r="Q1125">
        <v>16</v>
      </c>
      <c r="R1125" t="s">
        <v>766</v>
      </c>
      <c r="S1125" t="s">
        <v>2450</v>
      </c>
      <c r="T1125">
        <f>I1125*-0.5+M1125*0.5</f>
        <v>-6.7500000000000004E-2</v>
      </c>
      <c r="U1125">
        <f>I1125*0.7+M1125*-0.25+D1125*-0.25</f>
        <v>0.40879999999999994</v>
      </c>
      <c r="V1125">
        <f>J1125*0.5+I1125*-0.5</f>
        <v>-0.41320000000000001</v>
      </c>
      <c r="W1125">
        <f>M1125*0.5+G1125*0.25+I1125*0.25</f>
        <v>0.7642500000000001</v>
      </c>
    </row>
    <row r="1126" spans="1:23" x14ac:dyDescent="0.2">
      <c r="A1126">
        <v>6.2100000000000002E-2</v>
      </c>
      <c r="B1126">
        <v>11</v>
      </c>
      <c r="C1126">
        <v>4</v>
      </c>
      <c r="D1126">
        <v>0.27900000000000003</v>
      </c>
      <c r="E1126">
        <v>-3.851</v>
      </c>
      <c r="F1126">
        <v>190213</v>
      </c>
      <c r="G1126">
        <v>0.73799999999999999</v>
      </c>
      <c r="H1126">
        <v>187</v>
      </c>
      <c r="I1126">
        <v>0.94099999999999995</v>
      </c>
      <c r="J1126">
        <v>0.33200000000000002</v>
      </c>
      <c r="K1126" t="s">
        <v>2868</v>
      </c>
      <c r="L1126">
        <v>39</v>
      </c>
      <c r="M1126">
        <v>0.80400000000000005</v>
      </c>
      <c r="N1126">
        <v>174.94300000000001</v>
      </c>
      <c r="O1126">
        <v>0</v>
      </c>
      <c r="P1126">
        <v>1</v>
      </c>
      <c r="Q1126">
        <v>10</v>
      </c>
      <c r="R1126" t="s">
        <v>504</v>
      </c>
      <c r="S1126" t="s">
        <v>2869</v>
      </c>
      <c r="T1126">
        <f>I1126*-0.5+M1126*0.5</f>
        <v>-6.849999999999995E-2</v>
      </c>
      <c r="U1126">
        <f>I1126*0.7+M1126*-0.25+D1126*-0.25</f>
        <v>0.38794999999999991</v>
      </c>
      <c r="V1126">
        <f>J1126*0.5+I1126*-0.5</f>
        <v>-0.30449999999999999</v>
      </c>
      <c r="W1126">
        <f>M1126*0.5+G1126*0.25+I1126*0.25</f>
        <v>0.82174999999999998</v>
      </c>
    </row>
    <row r="1127" spans="1:23" x14ac:dyDescent="0.2">
      <c r="A1127">
        <v>4.3700000000000003E-2</v>
      </c>
      <c r="B1127">
        <v>1</v>
      </c>
      <c r="C1127">
        <v>4</v>
      </c>
      <c r="D1127">
        <v>0.19500000000000001</v>
      </c>
      <c r="E1127">
        <v>-4.9459999999999997</v>
      </c>
      <c r="F1127">
        <v>243533</v>
      </c>
      <c r="G1127">
        <v>0.76400000000000001</v>
      </c>
      <c r="H1127">
        <v>241</v>
      </c>
      <c r="I1127">
        <v>0.81100000000000005</v>
      </c>
      <c r="J1127">
        <v>1.5599999999999999E-2</v>
      </c>
      <c r="K1127" t="s">
        <v>2441</v>
      </c>
      <c r="L1127">
        <v>38</v>
      </c>
      <c r="M1127">
        <v>0.67300000000000004</v>
      </c>
      <c r="N1127">
        <v>127.941</v>
      </c>
      <c r="O1127" s="1">
        <v>6.5599999999999995E-5</v>
      </c>
      <c r="P1127">
        <v>1</v>
      </c>
      <c r="Q1127">
        <v>3</v>
      </c>
      <c r="R1127" t="s">
        <v>638</v>
      </c>
      <c r="S1127" t="s">
        <v>2442</v>
      </c>
      <c r="T1127">
        <f>I1127*-0.5+M1127*0.5</f>
        <v>-6.9000000000000006E-2</v>
      </c>
      <c r="U1127">
        <f>I1127*0.7+M1127*-0.25+D1127*-0.25</f>
        <v>0.35069999999999996</v>
      </c>
      <c r="V1127">
        <f>J1127*0.5+I1127*-0.5</f>
        <v>-0.39770000000000005</v>
      </c>
      <c r="W1127">
        <f>M1127*0.5+G1127*0.25+I1127*0.25</f>
        <v>0.73025000000000007</v>
      </c>
    </row>
    <row r="1128" spans="1:23" x14ac:dyDescent="0.2">
      <c r="A1128">
        <v>2.9499999999999998E-2</v>
      </c>
      <c r="B1128">
        <v>2</v>
      </c>
      <c r="C1128">
        <v>4</v>
      </c>
      <c r="D1128">
        <v>0.184</v>
      </c>
      <c r="E1128">
        <v>-6.0609999999999999</v>
      </c>
      <c r="F1128">
        <v>281560</v>
      </c>
      <c r="G1128">
        <v>0.78100000000000003</v>
      </c>
      <c r="H1128">
        <v>277</v>
      </c>
      <c r="I1128">
        <v>0.58399999999999996</v>
      </c>
      <c r="J1128">
        <v>0.47399999999999998</v>
      </c>
      <c r="K1128" t="s">
        <v>3067</v>
      </c>
      <c r="L1128">
        <v>55</v>
      </c>
      <c r="M1128">
        <v>0.44500000000000001</v>
      </c>
      <c r="N1128">
        <v>78.998000000000005</v>
      </c>
      <c r="O1128">
        <v>0</v>
      </c>
      <c r="P1128">
        <v>1</v>
      </c>
      <c r="Q1128">
        <v>15</v>
      </c>
      <c r="R1128" t="s">
        <v>2717</v>
      </c>
      <c r="S1128" t="s">
        <v>3068</v>
      </c>
      <c r="T1128">
        <f>I1128*-0.5+M1128*0.5</f>
        <v>-6.9499999999999978E-2</v>
      </c>
      <c r="U1128">
        <f>I1128*0.7+M1128*-0.25+D1128*-0.25</f>
        <v>0.25154999999999994</v>
      </c>
      <c r="V1128">
        <f>J1128*0.5+I1128*-0.5</f>
        <v>-5.4999999999999993E-2</v>
      </c>
      <c r="W1128">
        <f>M1128*0.5+G1128*0.25+I1128*0.25</f>
        <v>0.56374999999999997</v>
      </c>
    </row>
    <row r="1129" spans="1:23" x14ac:dyDescent="0.2">
      <c r="A1129">
        <v>0.188</v>
      </c>
      <c r="B1129">
        <v>4</v>
      </c>
      <c r="C1129">
        <v>4</v>
      </c>
      <c r="D1129">
        <v>5.11E-2</v>
      </c>
      <c r="E1129">
        <v>-5.3179999999999996</v>
      </c>
      <c r="F1129">
        <v>272360</v>
      </c>
      <c r="G1129">
        <v>0.90600000000000003</v>
      </c>
      <c r="H1129">
        <v>272</v>
      </c>
      <c r="I1129">
        <v>0.77500000000000002</v>
      </c>
      <c r="J1129">
        <v>1.7200000000000001E-4</v>
      </c>
      <c r="K1129" t="s">
        <v>2454</v>
      </c>
      <c r="L1129">
        <v>23</v>
      </c>
      <c r="M1129">
        <v>0.63600000000000001</v>
      </c>
      <c r="N1129">
        <v>84.010999999999996</v>
      </c>
      <c r="O1129" s="1">
        <v>4.8300000000000003E-6</v>
      </c>
      <c r="P1129">
        <v>1</v>
      </c>
      <c r="Q1129">
        <v>8</v>
      </c>
      <c r="R1129" t="s">
        <v>2455</v>
      </c>
      <c r="S1129" t="s">
        <v>2456</v>
      </c>
      <c r="T1129">
        <f>I1129*-0.5+M1129*0.5</f>
        <v>-6.9500000000000006E-2</v>
      </c>
      <c r="U1129">
        <f>I1129*0.7+M1129*-0.25+D1129*-0.25</f>
        <v>0.37072499999999997</v>
      </c>
      <c r="V1129">
        <f>J1129*0.5+I1129*-0.5</f>
        <v>-0.38741400000000004</v>
      </c>
      <c r="W1129">
        <f>M1129*0.5+G1129*0.25+I1129*0.25</f>
        <v>0.73824999999999996</v>
      </c>
    </row>
    <row r="1130" spans="1:23" x14ac:dyDescent="0.2">
      <c r="A1130">
        <v>0.36199999999999999</v>
      </c>
      <c r="B1130">
        <v>6</v>
      </c>
      <c r="C1130">
        <v>4</v>
      </c>
      <c r="D1130">
        <v>7.9799999999999996E-2</v>
      </c>
      <c r="E1130">
        <v>-6.1970000000000001</v>
      </c>
      <c r="F1130">
        <v>184907</v>
      </c>
      <c r="G1130">
        <v>0.81100000000000005</v>
      </c>
      <c r="H1130">
        <v>182</v>
      </c>
      <c r="I1130">
        <v>0.79600000000000004</v>
      </c>
      <c r="J1130">
        <v>3.9100000000000003E-2</v>
      </c>
      <c r="K1130" t="s">
        <v>2508</v>
      </c>
      <c r="L1130">
        <v>14</v>
      </c>
      <c r="M1130">
        <v>0.65700000000000003</v>
      </c>
      <c r="N1130">
        <v>199.958</v>
      </c>
      <c r="O1130">
        <v>0.71199999999999997</v>
      </c>
      <c r="P1130">
        <v>1</v>
      </c>
      <c r="Q1130">
        <v>4</v>
      </c>
      <c r="R1130" t="s">
        <v>2509</v>
      </c>
      <c r="S1130" t="s">
        <v>2510</v>
      </c>
      <c r="T1130">
        <f>I1130*-0.5+M1130*0.5</f>
        <v>-6.9500000000000006E-2</v>
      </c>
      <c r="U1130">
        <f>I1130*0.7+M1130*-0.25+D1130*-0.25</f>
        <v>0.373</v>
      </c>
      <c r="V1130">
        <f>J1130*0.5+I1130*-0.5</f>
        <v>-0.37845000000000001</v>
      </c>
      <c r="W1130">
        <f>M1130*0.5+G1130*0.25+I1130*0.25</f>
        <v>0.73025000000000007</v>
      </c>
    </row>
    <row r="1131" spans="1:23" x14ac:dyDescent="0.2">
      <c r="A1131">
        <v>5.8500000000000003E-2</v>
      </c>
      <c r="B1131">
        <v>10</v>
      </c>
      <c r="C1131">
        <v>4</v>
      </c>
      <c r="D1131">
        <v>0.28299999999999997</v>
      </c>
      <c r="E1131">
        <v>-6.2430000000000003</v>
      </c>
      <c r="F1131">
        <v>444373</v>
      </c>
      <c r="G1131">
        <v>0.86199999999999999</v>
      </c>
      <c r="H1131">
        <v>258</v>
      </c>
      <c r="I1131">
        <v>0.84599999999999997</v>
      </c>
      <c r="J1131">
        <v>0.33500000000000002</v>
      </c>
      <c r="K1131" t="s">
        <v>2917</v>
      </c>
      <c r="L1131">
        <v>26</v>
      </c>
      <c r="M1131">
        <v>0.70699999999999996</v>
      </c>
      <c r="N1131">
        <v>121.259</v>
      </c>
      <c r="O1131">
        <v>1.16E-4</v>
      </c>
      <c r="P1131">
        <v>0</v>
      </c>
      <c r="Q1131">
        <v>3</v>
      </c>
      <c r="R1131" t="s">
        <v>998</v>
      </c>
      <c r="S1131" t="s">
        <v>2918</v>
      </c>
      <c r="T1131">
        <f>I1131*-0.5+M1131*0.5</f>
        <v>-6.9500000000000006E-2</v>
      </c>
      <c r="U1131">
        <f>I1131*0.7+M1131*-0.25+D1131*-0.25</f>
        <v>0.34470000000000001</v>
      </c>
      <c r="V1131">
        <f>J1131*0.5+I1131*-0.5</f>
        <v>-0.25549999999999995</v>
      </c>
      <c r="W1131">
        <f>M1131*0.5+G1131*0.25+I1131*0.25</f>
        <v>0.78049999999999997</v>
      </c>
    </row>
    <row r="1132" spans="1:23" x14ac:dyDescent="0.2">
      <c r="A1132">
        <v>8.1199999999999994E-2</v>
      </c>
      <c r="B1132">
        <v>4</v>
      </c>
      <c r="C1132">
        <v>4</v>
      </c>
      <c r="D1132">
        <v>0.39</v>
      </c>
      <c r="E1132">
        <v>-4.7309999999999999</v>
      </c>
      <c r="F1132">
        <v>302040</v>
      </c>
      <c r="G1132">
        <v>0.72699999999999998</v>
      </c>
      <c r="H1132">
        <v>247</v>
      </c>
      <c r="I1132">
        <v>0.86899999999999999</v>
      </c>
      <c r="J1132">
        <v>0.247</v>
      </c>
      <c r="K1132" t="s">
        <v>2805</v>
      </c>
      <c r="L1132">
        <v>11</v>
      </c>
      <c r="M1132">
        <v>0.73</v>
      </c>
      <c r="N1132">
        <v>138.17699999999999</v>
      </c>
      <c r="O1132">
        <v>0</v>
      </c>
      <c r="P1132">
        <v>1</v>
      </c>
      <c r="Q1132">
        <v>8</v>
      </c>
      <c r="R1132" t="s">
        <v>2806</v>
      </c>
      <c r="S1132" t="s">
        <v>2807</v>
      </c>
      <c r="T1132">
        <f>I1132*-0.5+M1132*0.5</f>
        <v>-6.9500000000000006E-2</v>
      </c>
      <c r="U1132">
        <f>I1132*0.7+M1132*-0.25+D1132*-0.25</f>
        <v>0.32829999999999993</v>
      </c>
      <c r="V1132">
        <f>J1132*0.5+I1132*-0.5</f>
        <v>-0.311</v>
      </c>
      <c r="W1132">
        <f>M1132*0.5+G1132*0.25+I1132*0.25</f>
        <v>0.76400000000000001</v>
      </c>
    </row>
    <row r="1133" spans="1:23" x14ac:dyDescent="0.2">
      <c r="A1133">
        <v>0.17499999999999999</v>
      </c>
      <c r="B1133">
        <v>1</v>
      </c>
      <c r="C1133">
        <v>4</v>
      </c>
      <c r="D1133">
        <v>7.46E-2</v>
      </c>
      <c r="E1133">
        <v>-8.3849999999999998</v>
      </c>
      <c r="F1133">
        <v>237640</v>
      </c>
      <c r="G1133">
        <v>0.85099999999999998</v>
      </c>
      <c r="H1133">
        <v>237</v>
      </c>
      <c r="I1133">
        <v>0.77100000000000002</v>
      </c>
      <c r="J1133">
        <v>7.0499999999999998E-3</v>
      </c>
      <c r="K1133" t="s">
        <v>2472</v>
      </c>
      <c r="L1133">
        <v>32</v>
      </c>
      <c r="M1133">
        <v>0.629</v>
      </c>
      <c r="N1133">
        <v>125.98399999999999</v>
      </c>
      <c r="O1133">
        <v>3.7199999999999999E-4</v>
      </c>
      <c r="P1133">
        <v>1</v>
      </c>
      <c r="Q1133">
        <v>9</v>
      </c>
      <c r="R1133" t="s">
        <v>1108</v>
      </c>
      <c r="S1133" t="s">
        <v>2473</v>
      </c>
      <c r="T1133">
        <f>I1133*-0.5+M1133*0.5</f>
        <v>-7.1000000000000008E-2</v>
      </c>
      <c r="U1133">
        <f>I1133*0.7+M1133*-0.25+D1133*-0.25</f>
        <v>0.36379999999999996</v>
      </c>
      <c r="V1133">
        <f>J1133*0.5+I1133*-0.5</f>
        <v>-0.38197500000000001</v>
      </c>
      <c r="W1133">
        <f>M1133*0.5+G1133*0.25+I1133*0.25</f>
        <v>0.72</v>
      </c>
    </row>
    <row r="1134" spans="1:23" x14ac:dyDescent="0.2">
      <c r="A1134">
        <v>0.216</v>
      </c>
      <c r="B1134">
        <v>11</v>
      </c>
      <c r="C1134">
        <v>4</v>
      </c>
      <c r="D1134">
        <v>8.5699999999999998E-2</v>
      </c>
      <c r="E1134">
        <v>-5.0540000000000003</v>
      </c>
      <c r="F1134">
        <v>212107</v>
      </c>
      <c r="G1134">
        <v>0.76900000000000002</v>
      </c>
      <c r="H1134">
        <v>210</v>
      </c>
      <c r="I1134">
        <v>0.78</v>
      </c>
      <c r="J1134">
        <v>9.0200000000000002E-2</v>
      </c>
      <c r="K1134" t="s">
        <v>2624</v>
      </c>
      <c r="L1134">
        <v>27</v>
      </c>
      <c r="M1134">
        <v>0.63800000000000001</v>
      </c>
      <c r="N1134">
        <v>115.00700000000001</v>
      </c>
      <c r="O1134">
        <v>0</v>
      </c>
      <c r="P1134">
        <v>1</v>
      </c>
      <c r="Q1134">
        <v>4</v>
      </c>
      <c r="R1134" t="s">
        <v>623</v>
      </c>
      <c r="S1134" t="s">
        <v>2625</v>
      </c>
      <c r="T1134">
        <f>I1134*-0.5+M1134*0.5</f>
        <v>-7.1000000000000008E-2</v>
      </c>
      <c r="U1134">
        <f>I1134*0.7+M1134*-0.25+D1134*-0.25</f>
        <v>0.36507499999999993</v>
      </c>
      <c r="V1134">
        <f>J1134*0.5+I1134*-0.5</f>
        <v>-0.34489999999999998</v>
      </c>
      <c r="W1134">
        <f>M1134*0.5+G1134*0.25+I1134*0.25</f>
        <v>0.70625000000000004</v>
      </c>
    </row>
    <row r="1135" spans="1:23" x14ac:dyDescent="0.2">
      <c r="A1135">
        <v>0.27300000000000002</v>
      </c>
      <c r="B1135">
        <v>1</v>
      </c>
      <c r="C1135">
        <v>4</v>
      </c>
      <c r="D1135">
        <v>7.0099999999999996E-2</v>
      </c>
      <c r="E1135">
        <v>-4.4530000000000003</v>
      </c>
      <c r="F1135">
        <v>261333</v>
      </c>
      <c r="G1135">
        <v>0.878</v>
      </c>
      <c r="H1135">
        <v>259</v>
      </c>
      <c r="I1135">
        <v>0.77400000000000002</v>
      </c>
      <c r="J1135">
        <v>0.10299999999999999</v>
      </c>
      <c r="K1135" t="s">
        <v>2669</v>
      </c>
      <c r="L1135">
        <v>14</v>
      </c>
      <c r="M1135">
        <v>0.63</v>
      </c>
      <c r="N1135">
        <v>104.879</v>
      </c>
      <c r="O1135">
        <v>0</v>
      </c>
      <c r="P1135">
        <v>1</v>
      </c>
      <c r="Q1135">
        <v>8</v>
      </c>
      <c r="R1135" t="s">
        <v>2670</v>
      </c>
      <c r="S1135" t="s">
        <v>2671</v>
      </c>
      <c r="T1135">
        <f>I1135*-0.5+M1135*0.5</f>
        <v>-7.2000000000000008E-2</v>
      </c>
      <c r="U1135">
        <f>I1135*0.7+M1135*-0.25+D1135*-0.25</f>
        <v>0.36677499999999996</v>
      </c>
      <c r="V1135">
        <f>J1135*0.5+I1135*-0.5</f>
        <v>-0.33550000000000002</v>
      </c>
      <c r="W1135">
        <f>M1135*0.5+G1135*0.25+I1135*0.25</f>
        <v>0.72799999999999998</v>
      </c>
    </row>
    <row r="1136" spans="1:23" x14ac:dyDescent="0.2">
      <c r="A1136">
        <v>5.0200000000000002E-2</v>
      </c>
      <c r="B1136">
        <v>4</v>
      </c>
      <c r="C1136">
        <v>4</v>
      </c>
      <c r="D1136">
        <v>3.73E-2</v>
      </c>
      <c r="E1136">
        <v>-5.4390000000000001</v>
      </c>
      <c r="F1136">
        <v>219147</v>
      </c>
      <c r="G1136">
        <v>0.77400000000000002</v>
      </c>
      <c r="H1136">
        <v>215</v>
      </c>
      <c r="I1136">
        <v>0.91</v>
      </c>
      <c r="J1136">
        <v>0.156</v>
      </c>
      <c r="K1136" t="s">
        <v>2642</v>
      </c>
      <c r="L1136">
        <v>57</v>
      </c>
      <c r="M1136">
        <v>0.76500000000000001</v>
      </c>
      <c r="N1136">
        <v>119.001</v>
      </c>
      <c r="O1136">
        <v>0</v>
      </c>
      <c r="P1136">
        <v>0</v>
      </c>
      <c r="Q1136">
        <v>11</v>
      </c>
      <c r="R1136" t="s">
        <v>2643</v>
      </c>
      <c r="S1136" t="s">
        <v>2644</v>
      </c>
      <c r="T1136">
        <f>I1136*-0.5+M1136*0.5</f>
        <v>-7.2500000000000009E-2</v>
      </c>
      <c r="U1136">
        <f>I1136*0.7+M1136*-0.25+D1136*-0.25</f>
        <v>0.43642499999999995</v>
      </c>
      <c r="V1136">
        <f>J1136*0.5+I1136*-0.5</f>
        <v>-0.377</v>
      </c>
      <c r="W1136">
        <f>M1136*0.5+G1136*0.25+I1136*0.25</f>
        <v>0.8035000000000001</v>
      </c>
    </row>
    <row r="1137" spans="1:23" x14ac:dyDescent="0.2">
      <c r="A1137">
        <v>4.4999999999999998E-2</v>
      </c>
      <c r="B1137">
        <v>9</v>
      </c>
      <c r="C1137">
        <v>4</v>
      </c>
      <c r="D1137">
        <v>8.1900000000000001E-2</v>
      </c>
      <c r="E1137">
        <v>-6.0620000000000003</v>
      </c>
      <c r="F1137">
        <v>204285</v>
      </c>
      <c r="G1137">
        <v>0.68600000000000005</v>
      </c>
      <c r="H1137">
        <v>201</v>
      </c>
      <c r="I1137">
        <v>0.78200000000000003</v>
      </c>
      <c r="J1137">
        <v>2.3599999999999999E-2</v>
      </c>
      <c r="K1137" t="s">
        <v>2513</v>
      </c>
      <c r="L1137">
        <v>52</v>
      </c>
      <c r="M1137">
        <v>0.63500000000000001</v>
      </c>
      <c r="N1137">
        <v>95.998000000000005</v>
      </c>
      <c r="O1137">
        <v>0</v>
      </c>
      <c r="P1137">
        <v>0</v>
      </c>
      <c r="Q1137">
        <v>6</v>
      </c>
      <c r="R1137" t="s">
        <v>206</v>
      </c>
      <c r="S1137" t="s">
        <v>2514</v>
      </c>
      <c r="T1137">
        <f>I1137*-0.5+M1137*0.5</f>
        <v>-7.350000000000001E-2</v>
      </c>
      <c r="U1137">
        <f>I1137*0.7+M1137*-0.25+D1137*-0.25</f>
        <v>0.36817499999999997</v>
      </c>
      <c r="V1137">
        <f>J1137*0.5+I1137*-0.5</f>
        <v>-0.37920000000000004</v>
      </c>
      <c r="W1137">
        <f>M1137*0.5+G1137*0.25+I1137*0.25</f>
        <v>0.6845</v>
      </c>
    </row>
    <row r="1138" spans="1:23" x14ac:dyDescent="0.2">
      <c r="A1138">
        <v>3.8600000000000002E-2</v>
      </c>
      <c r="B1138">
        <v>5</v>
      </c>
      <c r="C1138">
        <v>4</v>
      </c>
      <c r="D1138">
        <v>0.253</v>
      </c>
      <c r="E1138">
        <v>-6.7969999999999997</v>
      </c>
      <c r="F1138">
        <v>240547</v>
      </c>
      <c r="G1138">
        <v>0.70599999999999996</v>
      </c>
      <c r="H1138">
        <v>217</v>
      </c>
      <c r="I1138">
        <v>0.77100000000000002</v>
      </c>
      <c r="J1138">
        <v>0.21299999999999999</v>
      </c>
      <c r="K1138" t="s">
        <v>2854</v>
      </c>
      <c r="L1138">
        <v>24</v>
      </c>
      <c r="M1138">
        <v>0.621</v>
      </c>
      <c r="N1138">
        <v>126.02800000000001</v>
      </c>
      <c r="O1138">
        <v>2.0799999999999998E-3</v>
      </c>
      <c r="P1138">
        <v>1</v>
      </c>
      <c r="Q1138">
        <v>15</v>
      </c>
      <c r="R1138" t="s">
        <v>2855</v>
      </c>
      <c r="S1138" t="s">
        <v>2856</v>
      </c>
      <c r="T1138">
        <f>I1138*-0.5+M1138*0.5</f>
        <v>-7.5000000000000011E-2</v>
      </c>
      <c r="U1138">
        <f>I1138*0.7+M1138*-0.25+D1138*-0.25</f>
        <v>0.32119999999999993</v>
      </c>
      <c r="V1138">
        <f>J1138*0.5+I1138*-0.5</f>
        <v>-0.27900000000000003</v>
      </c>
      <c r="W1138">
        <f>M1138*0.5+G1138*0.25+I1138*0.25</f>
        <v>0.67974999999999997</v>
      </c>
    </row>
    <row r="1139" spans="1:23" x14ac:dyDescent="0.2">
      <c r="A1139">
        <v>4.1300000000000003E-2</v>
      </c>
      <c r="B1139">
        <v>11</v>
      </c>
      <c r="C1139">
        <v>4</v>
      </c>
      <c r="D1139">
        <v>8.0799999999999997E-2</v>
      </c>
      <c r="E1139">
        <v>-4.9269999999999996</v>
      </c>
      <c r="F1139">
        <v>197987</v>
      </c>
      <c r="G1139">
        <v>0.77400000000000002</v>
      </c>
      <c r="H1139">
        <v>195</v>
      </c>
      <c r="I1139">
        <v>0.90100000000000002</v>
      </c>
      <c r="J1139">
        <v>2.0999999999999999E-3</v>
      </c>
      <c r="K1139" t="s">
        <v>2350</v>
      </c>
      <c r="L1139">
        <v>14</v>
      </c>
      <c r="M1139">
        <v>0.75</v>
      </c>
      <c r="N1139">
        <v>118.015</v>
      </c>
      <c r="O1139" s="1">
        <v>1.8499999999999999E-5</v>
      </c>
      <c r="P1139">
        <v>0</v>
      </c>
      <c r="Q1139">
        <v>16</v>
      </c>
      <c r="R1139" t="s">
        <v>2351</v>
      </c>
      <c r="S1139" t="s">
        <v>2352</v>
      </c>
      <c r="T1139">
        <f>I1139*-0.5+M1139*0.5</f>
        <v>-7.5500000000000012E-2</v>
      </c>
      <c r="U1139">
        <f>I1139*0.7+M1139*-0.25+D1139*-0.25</f>
        <v>0.42299999999999993</v>
      </c>
      <c r="V1139">
        <f>J1139*0.5+I1139*-0.5</f>
        <v>-0.44945000000000002</v>
      </c>
      <c r="W1139">
        <f>M1139*0.5+G1139*0.25+I1139*0.25</f>
        <v>0.79374999999999996</v>
      </c>
    </row>
    <row r="1140" spans="1:23" x14ac:dyDescent="0.2">
      <c r="A1140">
        <v>6.88E-2</v>
      </c>
      <c r="B1140">
        <v>8</v>
      </c>
      <c r="C1140">
        <v>4</v>
      </c>
      <c r="D1140">
        <v>0.193</v>
      </c>
      <c r="E1140">
        <v>-10.38</v>
      </c>
      <c r="F1140">
        <v>265333</v>
      </c>
      <c r="G1140">
        <v>0.73099999999999998</v>
      </c>
      <c r="H1140">
        <v>225</v>
      </c>
      <c r="I1140">
        <v>0.52</v>
      </c>
      <c r="J1140">
        <v>5.4400000000000004E-3</v>
      </c>
      <c r="K1140" t="s">
        <v>2745</v>
      </c>
      <c r="L1140">
        <v>22</v>
      </c>
      <c r="M1140">
        <v>0.36799999999999999</v>
      </c>
      <c r="N1140">
        <v>145.17099999999999</v>
      </c>
      <c r="O1140">
        <v>0</v>
      </c>
      <c r="P1140">
        <v>1</v>
      </c>
      <c r="Q1140">
        <v>7</v>
      </c>
      <c r="R1140" t="s">
        <v>2338</v>
      </c>
      <c r="S1140" t="s">
        <v>2746</v>
      </c>
      <c r="T1140">
        <f>I1140*-0.5+M1140*0.5</f>
        <v>-7.6000000000000012E-2</v>
      </c>
      <c r="U1140">
        <f>I1140*0.7+M1140*-0.25+D1140*-0.25</f>
        <v>0.22375</v>
      </c>
      <c r="V1140">
        <f>J1140*0.5+I1140*-0.5</f>
        <v>-0.25728000000000001</v>
      </c>
      <c r="W1140">
        <f>M1140*0.5+G1140*0.25+I1140*0.25</f>
        <v>0.49675000000000002</v>
      </c>
    </row>
    <row r="1141" spans="1:23" x14ac:dyDescent="0.2">
      <c r="A1141">
        <v>3.32E-2</v>
      </c>
      <c r="B1141">
        <v>2</v>
      </c>
      <c r="C1141">
        <v>4</v>
      </c>
      <c r="D1141">
        <v>0.20100000000000001</v>
      </c>
      <c r="E1141">
        <v>-8.4559999999999995</v>
      </c>
      <c r="F1141">
        <v>230507</v>
      </c>
      <c r="G1141">
        <v>0.749</v>
      </c>
      <c r="H1141">
        <v>232</v>
      </c>
      <c r="I1141">
        <v>0.64800000000000002</v>
      </c>
      <c r="J1141">
        <v>5.8400000000000001E-2</v>
      </c>
      <c r="K1141" t="s">
        <v>2728</v>
      </c>
      <c r="L1141">
        <v>19</v>
      </c>
      <c r="M1141">
        <v>0.495</v>
      </c>
      <c r="N1141">
        <v>126.12</v>
      </c>
      <c r="O1141">
        <v>0</v>
      </c>
      <c r="P1141">
        <v>1</v>
      </c>
      <c r="Q1141">
        <v>11</v>
      </c>
      <c r="R1141" t="s">
        <v>2691</v>
      </c>
      <c r="S1141" t="s">
        <v>2729</v>
      </c>
      <c r="T1141">
        <f>I1141*-0.5+M1141*0.5</f>
        <v>-7.6500000000000012E-2</v>
      </c>
      <c r="U1141">
        <f>I1141*0.7+M1141*-0.25+D1141*-0.25</f>
        <v>0.27959999999999996</v>
      </c>
      <c r="V1141">
        <f>J1141*0.5+I1141*-0.5</f>
        <v>-0.29480000000000001</v>
      </c>
      <c r="W1141">
        <f>M1141*0.5+G1141*0.25+I1141*0.25</f>
        <v>0.59675</v>
      </c>
    </row>
    <row r="1142" spans="1:23" x14ac:dyDescent="0.2">
      <c r="A1142">
        <v>0.183</v>
      </c>
      <c r="B1142">
        <v>6</v>
      </c>
      <c r="C1142">
        <v>4</v>
      </c>
      <c r="D1142">
        <v>0.10100000000000001</v>
      </c>
      <c r="E1142">
        <v>-6.9569999999999999</v>
      </c>
      <c r="F1142">
        <v>238267</v>
      </c>
      <c r="G1142">
        <v>0.77200000000000002</v>
      </c>
      <c r="H1142">
        <v>232</v>
      </c>
      <c r="I1142">
        <v>0.74299999999999999</v>
      </c>
      <c r="J1142">
        <v>9.1700000000000004E-2</v>
      </c>
      <c r="K1142" t="s">
        <v>2698</v>
      </c>
      <c r="L1142">
        <v>25</v>
      </c>
      <c r="M1142">
        <v>0.59</v>
      </c>
      <c r="N1142">
        <v>83.998000000000005</v>
      </c>
      <c r="O1142">
        <v>0</v>
      </c>
      <c r="P1142">
        <v>1</v>
      </c>
      <c r="Q1142">
        <v>14</v>
      </c>
      <c r="R1142" t="s">
        <v>2699</v>
      </c>
      <c r="S1142" t="s">
        <v>2700</v>
      </c>
      <c r="T1142">
        <f>I1142*-0.5+M1142*0.5</f>
        <v>-7.6500000000000012E-2</v>
      </c>
      <c r="U1142">
        <f>I1142*0.7+M1142*-0.25+D1142*-0.25</f>
        <v>0.34735000000000005</v>
      </c>
      <c r="V1142">
        <f>J1142*0.5+I1142*-0.5</f>
        <v>-0.32565</v>
      </c>
      <c r="W1142">
        <f>M1142*0.5+G1142*0.25+I1142*0.25</f>
        <v>0.67374999999999996</v>
      </c>
    </row>
    <row r="1143" spans="1:23" x14ac:dyDescent="0.2">
      <c r="A1143">
        <v>0.03</v>
      </c>
      <c r="B1143">
        <v>1</v>
      </c>
      <c r="C1143">
        <v>4</v>
      </c>
      <c r="D1143">
        <v>7.3300000000000004E-2</v>
      </c>
      <c r="E1143">
        <v>-4.5510000000000002</v>
      </c>
      <c r="F1143">
        <v>247840</v>
      </c>
      <c r="G1143">
        <v>0.81599999999999995</v>
      </c>
      <c r="H1143">
        <v>247</v>
      </c>
      <c r="I1143">
        <v>0.65400000000000003</v>
      </c>
      <c r="J1143">
        <v>2.2700000000000001E-2</v>
      </c>
      <c r="K1143" t="s">
        <v>2662</v>
      </c>
      <c r="L1143">
        <v>8</v>
      </c>
      <c r="M1143">
        <v>0.5</v>
      </c>
      <c r="N1143">
        <v>124.03700000000001</v>
      </c>
      <c r="O1143" s="1">
        <v>1.53E-6</v>
      </c>
      <c r="P1143">
        <v>1</v>
      </c>
      <c r="Q1143">
        <v>10</v>
      </c>
      <c r="R1143" t="s">
        <v>629</v>
      </c>
      <c r="S1143" t="s">
        <v>2663</v>
      </c>
      <c r="T1143">
        <f>I1143*-0.5+M1143*0.5</f>
        <v>-7.7000000000000013E-2</v>
      </c>
      <c r="U1143">
        <f>I1143*0.7+M1143*-0.25+D1143*-0.25</f>
        <v>0.314475</v>
      </c>
      <c r="V1143">
        <f>J1143*0.5+I1143*-0.5</f>
        <v>-0.31564999999999999</v>
      </c>
      <c r="W1143">
        <f>M1143*0.5+G1143*0.25+I1143*0.25</f>
        <v>0.61749999999999994</v>
      </c>
    </row>
    <row r="1144" spans="1:23" x14ac:dyDescent="0.2">
      <c r="A1144">
        <v>0.16400000000000001</v>
      </c>
      <c r="B1144">
        <v>11</v>
      </c>
      <c r="C1144">
        <v>4</v>
      </c>
      <c r="D1144">
        <v>0.24099999999999999</v>
      </c>
      <c r="E1144">
        <v>-4.3689999999999998</v>
      </c>
      <c r="F1144">
        <v>213227</v>
      </c>
      <c r="G1144">
        <v>0.879</v>
      </c>
      <c r="H1144">
        <v>210</v>
      </c>
      <c r="I1144">
        <v>0.88700000000000001</v>
      </c>
      <c r="J1144">
        <v>0.114</v>
      </c>
      <c r="K1144" t="s">
        <v>2607</v>
      </c>
      <c r="L1144">
        <v>12</v>
      </c>
      <c r="M1144">
        <v>0.73</v>
      </c>
      <c r="N1144">
        <v>99.924999999999997</v>
      </c>
      <c r="O1144">
        <v>0</v>
      </c>
      <c r="P1144">
        <v>0</v>
      </c>
      <c r="Q1144">
        <v>4</v>
      </c>
      <c r="R1144" t="s">
        <v>2608</v>
      </c>
      <c r="S1144" t="s">
        <v>2609</v>
      </c>
      <c r="T1144">
        <f>I1144*-0.5+M1144*0.5</f>
        <v>-7.8500000000000014E-2</v>
      </c>
      <c r="U1144">
        <f>I1144*0.7+M1144*-0.25+D1144*-0.25</f>
        <v>0.37814999999999999</v>
      </c>
      <c r="V1144">
        <f>J1144*0.5+I1144*-0.5</f>
        <v>-0.38650000000000001</v>
      </c>
      <c r="W1144">
        <f>M1144*0.5+G1144*0.25+I1144*0.25</f>
        <v>0.80649999999999999</v>
      </c>
    </row>
    <row r="1145" spans="1:23" x14ac:dyDescent="0.2">
      <c r="A1145">
        <v>8.9700000000000002E-2</v>
      </c>
      <c r="B1145">
        <v>1</v>
      </c>
      <c r="C1145">
        <v>4</v>
      </c>
      <c r="D1145">
        <v>9.8599999999999993E-2</v>
      </c>
      <c r="E1145">
        <v>-3.8759999999999999</v>
      </c>
      <c r="F1145">
        <v>187067</v>
      </c>
      <c r="G1145">
        <v>0.82899999999999996</v>
      </c>
      <c r="H1145">
        <v>185</v>
      </c>
      <c r="I1145">
        <v>0.76700000000000002</v>
      </c>
      <c r="J1145">
        <v>4.8999999999999998E-3</v>
      </c>
      <c r="K1145" t="s">
        <v>2530</v>
      </c>
      <c r="L1145">
        <v>34</v>
      </c>
      <c r="M1145">
        <v>0.60699999999999998</v>
      </c>
      <c r="N1145">
        <v>120.044</v>
      </c>
      <c r="O1145">
        <v>0</v>
      </c>
      <c r="P1145">
        <v>1</v>
      </c>
      <c r="Q1145">
        <v>3</v>
      </c>
      <c r="R1145" t="s">
        <v>237</v>
      </c>
      <c r="S1145" t="s">
        <v>2531</v>
      </c>
      <c r="T1145">
        <f>I1145*-0.5+M1145*0.5</f>
        <v>-8.0000000000000016E-2</v>
      </c>
      <c r="U1145">
        <f>I1145*0.7+M1145*-0.25+D1145*-0.25</f>
        <v>0.36049999999999993</v>
      </c>
      <c r="V1145">
        <f>J1145*0.5+I1145*-0.5</f>
        <v>-0.38105</v>
      </c>
      <c r="W1145">
        <f>M1145*0.5+G1145*0.25+I1145*0.25</f>
        <v>0.70250000000000001</v>
      </c>
    </row>
    <row r="1146" spans="1:23" x14ac:dyDescent="0.2">
      <c r="A1146">
        <v>0.316</v>
      </c>
      <c r="B1146">
        <v>4</v>
      </c>
      <c r="C1146">
        <v>4</v>
      </c>
      <c r="D1146">
        <v>8.8999999999999996E-2</v>
      </c>
      <c r="E1146">
        <v>-10.211</v>
      </c>
      <c r="F1146">
        <v>304000</v>
      </c>
      <c r="G1146">
        <v>0.77700000000000002</v>
      </c>
      <c r="H1146">
        <v>270</v>
      </c>
      <c r="I1146">
        <v>0.63600000000000001</v>
      </c>
      <c r="J1146">
        <v>8.6999999999999994E-2</v>
      </c>
      <c r="K1146" t="s">
        <v>2802</v>
      </c>
      <c r="L1146">
        <v>12</v>
      </c>
      <c r="M1146">
        <v>0.47399999999999998</v>
      </c>
      <c r="N1146">
        <v>164.12299999999999</v>
      </c>
      <c r="O1146">
        <v>0</v>
      </c>
      <c r="P1146">
        <v>0</v>
      </c>
      <c r="Q1146">
        <v>6</v>
      </c>
      <c r="R1146" t="s">
        <v>2803</v>
      </c>
      <c r="S1146" t="s">
        <v>2804</v>
      </c>
      <c r="T1146">
        <f>I1146*-0.5+M1146*0.5</f>
        <v>-8.1000000000000016E-2</v>
      </c>
      <c r="U1146">
        <f>I1146*0.7+M1146*-0.25+D1146*-0.25</f>
        <v>0.30445</v>
      </c>
      <c r="V1146">
        <f>J1146*0.5+I1146*-0.5</f>
        <v>-0.27450000000000002</v>
      </c>
      <c r="W1146">
        <f>M1146*0.5+G1146*0.25+I1146*0.25</f>
        <v>0.59025000000000005</v>
      </c>
    </row>
    <row r="1147" spans="1:23" x14ac:dyDescent="0.2">
      <c r="A1147">
        <v>0.16200000000000001</v>
      </c>
      <c r="B1147">
        <v>1</v>
      </c>
      <c r="C1147">
        <v>4</v>
      </c>
      <c r="D1147">
        <v>3.61E-2</v>
      </c>
      <c r="E1147">
        <v>-4.2290000000000001</v>
      </c>
      <c r="F1147">
        <v>211493</v>
      </c>
      <c r="G1147">
        <v>0.77500000000000002</v>
      </c>
      <c r="H1147">
        <v>210</v>
      </c>
      <c r="I1147">
        <v>0.89300000000000002</v>
      </c>
      <c r="J1147">
        <v>3.0300000000000001E-2</v>
      </c>
      <c r="K1147" t="s">
        <v>2470</v>
      </c>
      <c r="L1147">
        <v>7</v>
      </c>
      <c r="M1147">
        <v>0.72899999999999998</v>
      </c>
      <c r="N1147">
        <v>104.71899999999999</v>
      </c>
      <c r="O1147">
        <v>2.47E-3</v>
      </c>
      <c r="P1147">
        <v>0</v>
      </c>
      <c r="Q1147">
        <v>5</v>
      </c>
      <c r="R1147" t="s">
        <v>1199</v>
      </c>
      <c r="S1147" t="s">
        <v>2471</v>
      </c>
      <c r="T1147">
        <f>I1147*-0.5+M1147*0.5</f>
        <v>-8.2000000000000017E-2</v>
      </c>
      <c r="U1147">
        <f>I1147*0.7+M1147*-0.25+D1147*-0.25</f>
        <v>0.43382499999999996</v>
      </c>
      <c r="V1147">
        <f>J1147*0.5+I1147*-0.5</f>
        <v>-0.43135000000000001</v>
      </c>
      <c r="W1147">
        <f>M1147*0.5+G1147*0.25+I1147*0.25</f>
        <v>0.78150000000000008</v>
      </c>
    </row>
    <row r="1148" spans="1:23" x14ac:dyDescent="0.2">
      <c r="A1148">
        <v>3.0300000000000001E-2</v>
      </c>
      <c r="B1148">
        <v>10</v>
      </c>
      <c r="C1148">
        <v>4</v>
      </c>
      <c r="D1148">
        <v>0.111</v>
      </c>
      <c r="E1148">
        <v>-8.9990000000000006</v>
      </c>
      <c r="F1148">
        <v>240800</v>
      </c>
      <c r="G1148">
        <v>0.68500000000000005</v>
      </c>
      <c r="H1148">
        <v>236</v>
      </c>
      <c r="I1148">
        <v>0.51700000000000002</v>
      </c>
      <c r="J1148">
        <v>0.70899999999999996</v>
      </c>
      <c r="K1148" t="s">
        <v>3128</v>
      </c>
      <c r="L1148">
        <v>12</v>
      </c>
      <c r="M1148">
        <v>0.35099999999999998</v>
      </c>
      <c r="N1148">
        <v>109.771</v>
      </c>
      <c r="O1148">
        <v>0</v>
      </c>
      <c r="P1148">
        <v>1</v>
      </c>
      <c r="Q1148">
        <v>14</v>
      </c>
      <c r="R1148" t="s">
        <v>328</v>
      </c>
      <c r="S1148" t="s">
        <v>3129</v>
      </c>
      <c r="T1148">
        <f>I1148*-0.5+M1148*0.5</f>
        <v>-8.3000000000000018E-2</v>
      </c>
      <c r="U1148">
        <f>I1148*0.7+M1148*-0.25+D1148*-0.25</f>
        <v>0.24640000000000001</v>
      </c>
      <c r="V1148">
        <f>J1148*0.5+I1148*-0.5</f>
        <v>9.5999999999999974E-2</v>
      </c>
      <c r="W1148">
        <f>M1148*0.5+G1148*0.25+I1148*0.25</f>
        <v>0.47599999999999998</v>
      </c>
    </row>
    <row r="1149" spans="1:23" x14ac:dyDescent="0.2">
      <c r="A1149">
        <v>7.6700000000000004E-2</v>
      </c>
      <c r="B1149">
        <v>2</v>
      </c>
      <c r="C1149">
        <v>4</v>
      </c>
      <c r="D1149">
        <v>0.11</v>
      </c>
      <c r="E1149">
        <v>-6.6180000000000003</v>
      </c>
      <c r="F1149">
        <v>184120</v>
      </c>
      <c r="G1149">
        <v>0.70299999999999996</v>
      </c>
      <c r="H1149">
        <v>211</v>
      </c>
      <c r="I1149">
        <v>0.91700000000000004</v>
      </c>
      <c r="J1149">
        <v>5.5399999999999998E-2</v>
      </c>
      <c r="K1149" t="s">
        <v>2496</v>
      </c>
      <c r="L1149">
        <v>7</v>
      </c>
      <c r="M1149">
        <v>0.75</v>
      </c>
      <c r="N1149">
        <v>95.028999999999996</v>
      </c>
      <c r="O1149">
        <v>1.3100000000000001E-4</v>
      </c>
      <c r="P1149">
        <v>0</v>
      </c>
      <c r="Q1149">
        <v>3</v>
      </c>
      <c r="R1149" t="s">
        <v>2497</v>
      </c>
      <c r="S1149" t="s">
        <v>2498</v>
      </c>
      <c r="T1149">
        <f>I1149*-0.5+M1149*0.5</f>
        <v>-8.3500000000000019E-2</v>
      </c>
      <c r="U1149">
        <f>I1149*0.7+M1149*-0.25+D1149*-0.25</f>
        <v>0.4269</v>
      </c>
      <c r="V1149">
        <f>J1149*0.5+I1149*-0.5</f>
        <v>-0.43080000000000002</v>
      </c>
      <c r="W1149">
        <f>M1149*0.5+G1149*0.25+I1149*0.25</f>
        <v>0.78</v>
      </c>
    </row>
    <row r="1150" spans="1:23" x14ac:dyDescent="0.2">
      <c r="A1150">
        <v>0.122</v>
      </c>
      <c r="B1150">
        <v>9</v>
      </c>
      <c r="C1150">
        <v>4</v>
      </c>
      <c r="D1150">
        <v>0.25800000000000001</v>
      </c>
      <c r="E1150">
        <v>-7.03</v>
      </c>
      <c r="F1150">
        <v>226493</v>
      </c>
      <c r="G1150">
        <v>0.754</v>
      </c>
      <c r="H1150">
        <v>197</v>
      </c>
      <c r="I1150">
        <v>0.78400000000000003</v>
      </c>
      <c r="J1150">
        <v>0.36</v>
      </c>
      <c r="K1150" t="s">
        <v>3000</v>
      </c>
      <c r="L1150">
        <v>15</v>
      </c>
      <c r="M1150">
        <v>0.61399999999999999</v>
      </c>
      <c r="N1150">
        <v>149.297</v>
      </c>
      <c r="O1150" s="1">
        <v>3.9499999999999998E-5</v>
      </c>
      <c r="P1150">
        <v>0</v>
      </c>
      <c r="Q1150">
        <v>10</v>
      </c>
      <c r="R1150" t="s">
        <v>3001</v>
      </c>
      <c r="S1150" t="s">
        <v>3002</v>
      </c>
      <c r="T1150">
        <f>I1150*-0.5+M1150*0.5</f>
        <v>-8.500000000000002E-2</v>
      </c>
      <c r="U1150">
        <f>I1150*0.7+M1150*-0.25+D1150*-0.25</f>
        <v>0.33079999999999998</v>
      </c>
      <c r="V1150">
        <f>J1150*0.5+I1150*-0.5</f>
        <v>-0.21200000000000002</v>
      </c>
      <c r="W1150">
        <f>M1150*0.5+G1150*0.25+I1150*0.25</f>
        <v>0.6915</v>
      </c>
    </row>
    <row r="1151" spans="1:23" x14ac:dyDescent="0.2">
      <c r="A1151">
        <v>4.3099999999999999E-2</v>
      </c>
      <c r="B1151">
        <v>5</v>
      </c>
      <c r="C1151">
        <v>4</v>
      </c>
      <c r="D1151">
        <v>0.309</v>
      </c>
      <c r="E1151">
        <v>-4.165</v>
      </c>
      <c r="F1151">
        <v>233478</v>
      </c>
      <c r="G1151">
        <v>0.72599999999999998</v>
      </c>
      <c r="H1151">
        <v>230</v>
      </c>
      <c r="I1151">
        <v>0.871</v>
      </c>
      <c r="J1151">
        <v>4.9000000000000002E-2</v>
      </c>
      <c r="K1151" t="s">
        <v>2544</v>
      </c>
      <c r="L1151">
        <v>46</v>
      </c>
      <c r="M1151">
        <v>0.69799999999999995</v>
      </c>
      <c r="N1151">
        <v>143.994</v>
      </c>
      <c r="O1151">
        <v>0</v>
      </c>
      <c r="P1151">
        <v>1</v>
      </c>
      <c r="Q1151">
        <v>1</v>
      </c>
      <c r="R1151" t="s">
        <v>504</v>
      </c>
      <c r="S1151" t="s">
        <v>2545</v>
      </c>
      <c r="T1151">
        <f>I1151*-0.5+M1151*0.5</f>
        <v>-8.6500000000000021E-2</v>
      </c>
      <c r="U1151">
        <f>I1151*0.7+M1151*-0.25+D1151*-0.25</f>
        <v>0.35794999999999993</v>
      </c>
      <c r="V1151">
        <f>J1151*0.5+I1151*-0.5</f>
        <v>-0.41099999999999998</v>
      </c>
      <c r="W1151">
        <f>M1151*0.5+G1151*0.25+I1151*0.25</f>
        <v>0.74824999999999997</v>
      </c>
    </row>
    <row r="1152" spans="1:23" x14ac:dyDescent="0.2">
      <c r="A1152">
        <v>3.1699999999999999E-2</v>
      </c>
      <c r="B1152">
        <v>8</v>
      </c>
      <c r="C1152">
        <v>4</v>
      </c>
      <c r="D1152">
        <v>6.6900000000000001E-2</v>
      </c>
      <c r="E1152">
        <v>-5.7069999999999999</v>
      </c>
      <c r="F1152">
        <v>206227</v>
      </c>
      <c r="G1152">
        <v>0.76500000000000001</v>
      </c>
      <c r="H1152">
        <v>204</v>
      </c>
      <c r="I1152">
        <v>0.96599999999999997</v>
      </c>
      <c r="J1152">
        <v>0.26200000000000001</v>
      </c>
      <c r="K1152" t="s">
        <v>2843</v>
      </c>
      <c r="L1152">
        <v>5</v>
      </c>
      <c r="M1152">
        <v>0.79100000000000004</v>
      </c>
      <c r="N1152">
        <v>95.025999999999996</v>
      </c>
      <c r="O1152">
        <v>1.54E-4</v>
      </c>
      <c r="P1152">
        <v>1</v>
      </c>
      <c r="Q1152">
        <v>10</v>
      </c>
      <c r="R1152" t="s">
        <v>623</v>
      </c>
      <c r="S1152" t="s">
        <v>2844</v>
      </c>
      <c r="T1152">
        <f>I1152*-0.5+M1152*0.5</f>
        <v>-8.7499999999999967E-2</v>
      </c>
      <c r="U1152">
        <f>I1152*0.7+M1152*-0.25+D1152*-0.25</f>
        <v>0.46172499999999994</v>
      </c>
      <c r="V1152">
        <f>J1152*0.5+I1152*-0.5</f>
        <v>-0.35199999999999998</v>
      </c>
      <c r="W1152">
        <f>M1152*0.5+G1152*0.25+I1152*0.25</f>
        <v>0.82824999999999993</v>
      </c>
    </row>
    <row r="1153" spans="1:23" x14ac:dyDescent="0.2">
      <c r="A1153">
        <v>0.14399999999999999</v>
      </c>
      <c r="B1153">
        <v>9</v>
      </c>
      <c r="C1153">
        <v>4</v>
      </c>
      <c r="D1153">
        <v>5.9499999999999997E-2</v>
      </c>
      <c r="E1153">
        <v>-5.0049999999999999</v>
      </c>
      <c r="F1153">
        <v>228227</v>
      </c>
      <c r="G1153">
        <v>0.96499999999999997</v>
      </c>
      <c r="H1153">
        <v>228</v>
      </c>
      <c r="I1153">
        <v>0.91200000000000003</v>
      </c>
      <c r="J1153">
        <v>0.218</v>
      </c>
      <c r="K1153" t="s">
        <v>2820</v>
      </c>
      <c r="L1153">
        <v>11</v>
      </c>
      <c r="M1153">
        <v>0.73599999999999999</v>
      </c>
      <c r="N1153">
        <v>107.07</v>
      </c>
      <c r="O1153">
        <v>0</v>
      </c>
      <c r="P1153">
        <v>0</v>
      </c>
      <c r="Q1153">
        <v>1</v>
      </c>
      <c r="R1153" t="s">
        <v>89</v>
      </c>
      <c r="S1153" t="s">
        <v>2821</v>
      </c>
      <c r="T1153">
        <f>I1153*-0.5+M1153*0.5</f>
        <v>-8.8000000000000023E-2</v>
      </c>
      <c r="U1153">
        <f>I1153*0.7+M1153*-0.25+D1153*-0.25</f>
        <v>0.43952499999999994</v>
      </c>
      <c r="V1153">
        <f>J1153*0.5+I1153*-0.5</f>
        <v>-0.34700000000000003</v>
      </c>
      <c r="W1153">
        <f>M1153*0.5+G1153*0.25+I1153*0.25</f>
        <v>0.83724999999999994</v>
      </c>
    </row>
    <row r="1154" spans="1:23" x14ac:dyDescent="0.2">
      <c r="A1154">
        <v>5.6899999999999999E-2</v>
      </c>
      <c r="B1154">
        <v>1</v>
      </c>
      <c r="C1154">
        <v>4</v>
      </c>
      <c r="D1154">
        <v>7.6100000000000001E-2</v>
      </c>
      <c r="E1154">
        <v>-3.79</v>
      </c>
      <c r="F1154">
        <v>188453</v>
      </c>
      <c r="G1154">
        <v>0.85899999999999999</v>
      </c>
      <c r="H1154">
        <v>185</v>
      </c>
      <c r="I1154">
        <v>0.875</v>
      </c>
      <c r="J1154">
        <v>7.1499999999999994E-2</v>
      </c>
      <c r="K1154" t="s">
        <v>2594</v>
      </c>
      <c r="L1154">
        <v>41</v>
      </c>
      <c r="M1154">
        <v>0.69699999999999995</v>
      </c>
      <c r="N1154">
        <v>117.008</v>
      </c>
      <c r="O1154">
        <v>0</v>
      </c>
      <c r="P1154">
        <v>0</v>
      </c>
      <c r="Q1154">
        <v>10</v>
      </c>
      <c r="R1154" t="s">
        <v>1205</v>
      </c>
      <c r="S1154" t="s">
        <v>2595</v>
      </c>
      <c r="T1154">
        <f>I1154*-0.5+M1154*0.5</f>
        <v>-8.9000000000000024E-2</v>
      </c>
      <c r="U1154">
        <f>I1154*0.7+M1154*-0.25+D1154*-0.25</f>
        <v>0.4192249999999999</v>
      </c>
      <c r="V1154">
        <f>J1154*0.5+I1154*-0.5</f>
        <v>-0.40175</v>
      </c>
      <c r="W1154">
        <f>M1154*0.5+G1154*0.25+I1154*0.25</f>
        <v>0.78200000000000003</v>
      </c>
    </row>
    <row r="1155" spans="1:23" x14ac:dyDescent="0.2">
      <c r="A1155">
        <v>0.157</v>
      </c>
      <c r="B1155">
        <v>10</v>
      </c>
      <c r="C1155">
        <v>4</v>
      </c>
      <c r="D1155">
        <v>0.154</v>
      </c>
      <c r="E1155">
        <v>-4.71</v>
      </c>
      <c r="F1155">
        <v>200200</v>
      </c>
      <c r="G1155">
        <v>0.84299999999999997</v>
      </c>
      <c r="H1155">
        <v>171</v>
      </c>
      <c r="I1155">
        <v>0.79100000000000004</v>
      </c>
      <c r="J1155">
        <v>5.7299999999999997E-2</v>
      </c>
      <c r="K1155" t="s">
        <v>2666</v>
      </c>
      <c r="L1155">
        <v>10</v>
      </c>
      <c r="M1155">
        <v>0.61199999999999999</v>
      </c>
      <c r="N1155">
        <v>93.974999999999994</v>
      </c>
      <c r="O1155">
        <v>3.0499999999999999E-4</v>
      </c>
      <c r="P1155">
        <v>0</v>
      </c>
      <c r="Q1155">
        <v>6</v>
      </c>
      <c r="R1155" t="s">
        <v>2667</v>
      </c>
      <c r="S1155" t="s">
        <v>2668</v>
      </c>
      <c r="T1155">
        <f>I1155*-0.5+M1155*0.5</f>
        <v>-8.9500000000000024E-2</v>
      </c>
      <c r="U1155">
        <f>I1155*0.7+M1155*-0.25+D1155*-0.25</f>
        <v>0.36219999999999997</v>
      </c>
      <c r="V1155">
        <f>J1155*0.5+I1155*-0.5</f>
        <v>-0.36685000000000001</v>
      </c>
      <c r="W1155">
        <f>M1155*0.5+G1155*0.25+I1155*0.25</f>
        <v>0.71450000000000002</v>
      </c>
    </row>
    <row r="1156" spans="1:23" x14ac:dyDescent="0.2">
      <c r="A1156">
        <v>4.4400000000000002E-2</v>
      </c>
      <c r="B1156">
        <v>7</v>
      </c>
      <c r="C1156">
        <v>4</v>
      </c>
      <c r="D1156">
        <v>0.22500000000000001</v>
      </c>
      <c r="E1156">
        <v>-7.4480000000000004</v>
      </c>
      <c r="F1156">
        <v>188867</v>
      </c>
      <c r="G1156">
        <v>0.86499999999999999</v>
      </c>
      <c r="H1156">
        <v>185</v>
      </c>
      <c r="I1156">
        <v>0.86899999999999999</v>
      </c>
      <c r="J1156">
        <v>0.28899999999999998</v>
      </c>
      <c r="K1156" t="s">
        <v>2921</v>
      </c>
      <c r="L1156">
        <v>32</v>
      </c>
      <c r="M1156">
        <v>0.69</v>
      </c>
      <c r="N1156">
        <v>121.983</v>
      </c>
      <c r="O1156">
        <v>1.38E-2</v>
      </c>
      <c r="P1156">
        <v>1</v>
      </c>
      <c r="Q1156">
        <v>11</v>
      </c>
      <c r="R1156" t="s">
        <v>1138</v>
      </c>
      <c r="S1156" t="s">
        <v>2922</v>
      </c>
      <c r="T1156">
        <f>I1156*-0.5+M1156*0.5</f>
        <v>-8.9500000000000024E-2</v>
      </c>
      <c r="U1156">
        <f>I1156*0.7+M1156*-0.25+D1156*-0.25</f>
        <v>0.37954999999999994</v>
      </c>
      <c r="V1156">
        <f>J1156*0.5+I1156*-0.5</f>
        <v>-0.29000000000000004</v>
      </c>
      <c r="W1156">
        <f>M1156*0.5+G1156*0.25+I1156*0.25</f>
        <v>0.77849999999999997</v>
      </c>
    </row>
    <row r="1157" spans="1:23" x14ac:dyDescent="0.2">
      <c r="A1157">
        <v>0.22</v>
      </c>
      <c r="B1157">
        <v>9</v>
      </c>
      <c r="C1157">
        <v>4</v>
      </c>
      <c r="D1157">
        <v>0.67200000000000004</v>
      </c>
      <c r="E1157">
        <v>-4.7450000000000001</v>
      </c>
      <c r="F1157">
        <v>224573</v>
      </c>
      <c r="G1157">
        <v>0.72899999999999998</v>
      </c>
      <c r="H1157">
        <v>222</v>
      </c>
      <c r="I1157">
        <v>0.89600000000000002</v>
      </c>
      <c r="J1157">
        <v>1.77E-2</v>
      </c>
      <c r="K1157" t="s">
        <v>2490</v>
      </c>
      <c r="L1157">
        <v>57</v>
      </c>
      <c r="M1157">
        <v>0.71399999999999997</v>
      </c>
      <c r="N1157">
        <v>90.009</v>
      </c>
      <c r="O1157">
        <v>5.8600000000000004E-4</v>
      </c>
      <c r="P1157">
        <v>1</v>
      </c>
      <c r="Q1157">
        <v>20</v>
      </c>
      <c r="R1157" t="s">
        <v>2491</v>
      </c>
      <c r="S1157" t="s">
        <v>2492</v>
      </c>
      <c r="T1157">
        <f>I1157*-0.5+M1157*0.5</f>
        <v>-9.1000000000000025E-2</v>
      </c>
      <c r="U1157">
        <f>I1157*0.7+M1157*-0.25+D1157*-0.25</f>
        <v>0.28069999999999995</v>
      </c>
      <c r="V1157">
        <f>J1157*0.5+I1157*-0.5</f>
        <v>-0.43914999999999998</v>
      </c>
      <c r="W1157">
        <f>M1157*0.5+G1157*0.25+I1157*0.25</f>
        <v>0.76324999999999998</v>
      </c>
    </row>
    <row r="1158" spans="1:23" x14ac:dyDescent="0.2">
      <c r="A1158">
        <v>0.45300000000000001</v>
      </c>
      <c r="B1158">
        <v>4</v>
      </c>
      <c r="C1158">
        <v>4</v>
      </c>
      <c r="D1158">
        <v>0.28499999999999998</v>
      </c>
      <c r="E1158">
        <v>-9.9540000000000006</v>
      </c>
      <c r="F1158">
        <v>233720</v>
      </c>
      <c r="G1158">
        <v>0.60699999999999998</v>
      </c>
      <c r="H1158">
        <v>231</v>
      </c>
      <c r="I1158">
        <v>0.55900000000000005</v>
      </c>
      <c r="J1158">
        <v>0.85599999999999998</v>
      </c>
      <c r="K1158" t="s">
        <v>3143</v>
      </c>
      <c r="L1158">
        <v>58</v>
      </c>
      <c r="M1158">
        <v>0.376</v>
      </c>
      <c r="N1158">
        <v>102.541</v>
      </c>
      <c r="O1158">
        <v>0</v>
      </c>
      <c r="P1158">
        <v>1</v>
      </c>
      <c r="Q1158">
        <v>2</v>
      </c>
      <c r="R1158" t="s">
        <v>839</v>
      </c>
      <c r="S1158" t="s">
        <v>3144</v>
      </c>
      <c r="T1158">
        <f>I1158*-0.5+M1158*0.5</f>
        <v>-9.1500000000000026E-2</v>
      </c>
      <c r="U1158">
        <f>I1158*0.7+M1158*-0.25+D1158*-0.25</f>
        <v>0.22605000000000003</v>
      </c>
      <c r="V1158">
        <f>J1158*0.5+I1158*-0.5</f>
        <v>0.14849999999999997</v>
      </c>
      <c r="W1158">
        <f>M1158*0.5+G1158*0.25+I1158*0.25</f>
        <v>0.47950000000000004</v>
      </c>
    </row>
    <row r="1159" spans="1:23" x14ac:dyDescent="0.2">
      <c r="A1159">
        <v>0.13200000000000001</v>
      </c>
      <c r="B1159">
        <v>8</v>
      </c>
      <c r="C1159">
        <v>4</v>
      </c>
      <c r="D1159">
        <v>5.7000000000000002E-2</v>
      </c>
      <c r="E1159">
        <v>-7.39</v>
      </c>
      <c r="F1159">
        <v>225205</v>
      </c>
      <c r="G1159">
        <v>0.88600000000000001</v>
      </c>
      <c r="H1159">
        <v>223</v>
      </c>
      <c r="I1159">
        <v>0.71099999999999997</v>
      </c>
      <c r="J1159">
        <v>0.23599999999999999</v>
      </c>
      <c r="K1159" t="s">
        <v>2971</v>
      </c>
      <c r="L1159">
        <v>61</v>
      </c>
      <c r="M1159">
        <v>0.52500000000000002</v>
      </c>
      <c r="N1159">
        <v>145.99</v>
      </c>
      <c r="O1159">
        <v>0</v>
      </c>
      <c r="P1159">
        <v>1</v>
      </c>
      <c r="Q1159">
        <v>8</v>
      </c>
      <c r="R1159" t="s">
        <v>2972</v>
      </c>
      <c r="S1159" t="s">
        <v>2973</v>
      </c>
      <c r="T1159">
        <f>I1159*-0.5+M1159*0.5</f>
        <v>-9.2999999999999972E-2</v>
      </c>
      <c r="U1159">
        <f>I1159*0.7+M1159*-0.25+D1159*-0.25</f>
        <v>0.35219999999999996</v>
      </c>
      <c r="V1159">
        <f>J1159*0.5+I1159*-0.5</f>
        <v>-0.23749999999999999</v>
      </c>
      <c r="W1159">
        <f>M1159*0.5+G1159*0.25+I1159*0.25</f>
        <v>0.66174999999999995</v>
      </c>
    </row>
    <row r="1160" spans="1:23" x14ac:dyDescent="0.2">
      <c r="A1160">
        <v>7.0800000000000002E-2</v>
      </c>
      <c r="B1160">
        <v>11</v>
      </c>
      <c r="C1160">
        <v>4</v>
      </c>
      <c r="D1160">
        <v>0.11600000000000001</v>
      </c>
      <c r="E1160">
        <v>-5.1139999999999999</v>
      </c>
      <c r="F1160">
        <v>215042</v>
      </c>
      <c r="G1160">
        <v>0.71599999999999997</v>
      </c>
      <c r="H1160">
        <v>212</v>
      </c>
      <c r="I1160">
        <v>0.85599999999999998</v>
      </c>
      <c r="J1160">
        <v>0.10299999999999999</v>
      </c>
      <c r="K1160" t="s">
        <v>2709</v>
      </c>
      <c r="L1160">
        <v>51</v>
      </c>
      <c r="M1160">
        <v>0.66900000000000004</v>
      </c>
      <c r="N1160">
        <v>125.97499999999999</v>
      </c>
      <c r="O1160" s="1">
        <v>1.7999999999999999E-6</v>
      </c>
      <c r="P1160">
        <v>1</v>
      </c>
      <c r="Q1160">
        <v>1</v>
      </c>
      <c r="R1160" t="s">
        <v>206</v>
      </c>
      <c r="S1160" t="s">
        <v>2710</v>
      </c>
      <c r="T1160">
        <f>I1160*-0.5+M1160*0.5</f>
        <v>-9.3499999999999972E-2</v>
      </c>
      <c r="U1160">
        <f>I1160*0.7+M1160*-0.25+D1160*-0.25</f>
        <v>0.40294999999999992</v>
      </c>
      <c r="V1160">
        <f>J1160*0.5+I1160*-0.5</f>
        <v>-0.3765</v>
      </c>
      <c r="W1160">
        <f>M1160*0.5+G1160*0.25+I1160*0.25</f>
        <v>0.72750000000000004</v>
      </c>
    </row>
    <row r="1161" spans="1:23" x14ac:dyDescent="0.2">
      <c r="A1161">
        <v>0.254</v>
      </c>
      <c r="B1161">
        <v>2</v>
      </c>
      <c r="C1161">
        <v>4</v>
      </c>
      <c r="D1161">
        <v>0.59399999999999997</v>
      </c>
      <c r="E1161">
        <v>-8.6419999999999995</v>
      </c>
      <c r="F1161">
        <v>296587</v>
      </c>
      <c r="G1161">
        <v>0.91900000000000004</v>
      </c>
      <c r="H1161">
        <v>240</v>
      </c>
      <c r="I1161">
        <v>0.86399999999999999</v>
      </c>
      <c r="J1161">
        <v>9.4200000000000006E-2</v>
      </c>
      <c r="K1161" t="s">
        <v>2681</v>
      </c>
      <c r="L1161">
        <v>9</v>
      </c>
      <c r="M1161">
        <v>0.67700000000000005</v>
      </c>
      <c r="N1161">
        <v>131.05000000000001</v>
      </c>
      <c r="O1161">
        <v>0</v>
      </c>
      <c r="P1161">
        <v>1</v>
      </c>
      <c r="Q1161">
        <v>7</v>
      </c>
      <c r="R1161" t="s">
        <v>2682</v>
      </c>
      <c r="S1161" t="s">
        <v>2683</v>
      </c>
      <c r="T1161">
        <f>I1161*-0.5+M1161*0.5</f>
        <v>-9.3499999999999972E-2</v>
      </c>
      <c r="U1161">
        <f>I1161*0.7+M1161*-0.25+D1161*-0.25</f>
        <v>0.28705000000000003</v>
      </c>
      <c r="V1161">
        <f>J1161*0.5+I1161*-0.5</f>
        <v>-0.38490000000000002</v>
      </c>
      <c r="W1161">
        <f>M1161*0.5+G1161*0.25+I1161*0.25</f>
        <v>0.78425</v>
      </c>
    </row>
    <row r="1162" spans="1:23" x14ac:dyDescent="0.2">
      <c r="A1162">
        <v>8.3299999999999999E-2</v>
      </c>
      <c r="B1162">
        <v>6</v>
      </c>
      <c r="C1162">
        <v>4</v>
      </c>
      <c r="D1162">
        <v>0.28000000000000003</v>
      </c>
      <c r="E1162">
        <v>-8.1359999999999992</v>
      </c>
      <c r="F1162">
        <v>332827</v>
      </c>
      <c r="G1162">
        <v>0.623</v>
      </c>
      <c r="H1162">
        <v>249</v>
      </c>
      <c r="I1162">
        <v>0.67500000000000004</v>
      </c>
      <c r="J1162">
        <v>5.79E-2</v>
      </c>
      <c r="K1162" t="s">
        <v>2796</v>
      </c>
      <c r="L1162">
        <v>6</v>
      </c>
      <c r="M1162">
        <v>0.48499999999999999</v>
      </c>
      <c r="N1162">
        <v>79.082999999999998</v>
      </c>
      <c r="O1162">
        <v>0</v>
      </c>
      <c r="P1162">
        <v>1</v>
      </c>
      <c r="Q1162">
        <v>10</v>
      </c>
      <c r="R1162" t="s">
        <v>2797</v>
      </c>
      <c r="S1162" t="s">
        <v>2798</v>
      </c>
      <c r="T1162">
        <f>I1162*-0.5+M1162*0.5</f>
        <v>-9.5000000000000029E-2</v>
      </c>
      <c r="U1162">
        <f>I1162*0.7+M1162*-0.25+D1162*-0.25</f>
        <v>0.28124999999999994</v>
      </c>
      <c r="V1162">
        <f>J1162*0.5+I1162*-0.5</f>
        <v>-0.30855000000000005</v>
      </c>
      <c r="W1162">
        <f>M1162*0.5+G1162*0.25+I1162*0.25</f>
        <v>0.56699999999999995</v>
      </c>
    </row>
    <row r="1163" spans="1:23" x14ac:dyDescent="0.2">
      <c r="A1163">
        <v>0.33700000000000002</v>
      </c>
      <c r="B1163">
        <v>8</v>
      </c>
      <c r="C1163">
        <v>4</v>
      </c>
      <c r="D1163">
        <v>0.111</v>
      </c>
      <c r="E1163">
        <v>-7.6509999999999998</v>
      </c>
      <c r="F1163">
        <v>292373</v>
      </c>
      <c r="G1163">
        <v>0.90400000000000003</v>
      </c>
      <c r="H1163">
        <v>222</v>
      </c>
      <c r="I1163">
        <v>0.79100000000000004</v>
      </c>
      <c r="J1163">
        <v>5.6800000000000003E-2</v>
      </c>
      <c r="K1163" t="s">
        <v>2706</v>
      </c>
      <c r="L1163">
        <v>24</v>
      </c>
      <c r="M1163">
        <v>0.59799999999999998</v>
      </c>
      <c r="N1163">
        <v>129.05500000000001</v>
      </c>
      <c r="O1163">
        <v>0</v>
      </c>
      <c r="P1163">
        <v>0</v>
      </c>
      <c r="Q1163">
        <v>1</v>
      </c>
      <c r="R1163" t="s">
        <v>2707</v>
      </c>
      <c r="S1163" t="s">
        <v>2708</v>
      </c>
      <c r="T1163">
        <f>I1163*-0.5+M1163*0.5</f>
        <v>-9.650000000000003E-2</v>
      </c>
      <c r="U1163">
        <f>I1163*0.7+M1163*-0.25+D1163*-0.25</f>
        <v>0.37645000000000001</v>
      </c>
      <c r="V1163">
        <f>J1163*0.5+I1163*-0.5</f>
        <v>-0.36710000000000004</v>
      </c>
      <c r="W1163">
        <f>M1163*0.5+G1163*0.25+I1163*0.25</f>
        <v>0.72275</v>
      </c>
    </row>
    <row r="1164" spans="1:23" x14ac:dyDescent="0.2">
      <c r="A1164">
        <v>0.24099999999999999</v>
      </c>
      <c r="B1164">
        <v>11</v>
      </c>
      <c r="C1164">
        <v>4</v>
      </c>
      <c r="D1164">
        <v>0.20300000000000001</v>
      </c>
      <c r="E1164">
        <v>-4.8849999999999998</v>
      </c>
      <c r="F1164">
        <v>294960</v>
      </c>
      <c r="G1164">
        <v>0.84799999999999998</v>
      </c>
      <c r="H1164">
        <v>294</v>
      </c>
      <c r="I1164">
        <v>0.89100000000000001</v>
      </c>
      <c r="J1164">
        <v>1.8100000000000002E-2</v>
      </c>
      <c r="K1164" t="s">
        <v>2527</v>
      </c>
      <c r="L1164">
        <v>1</v>
      </c>
      <c r="M1164">
        <v>0.69799999999999995</v>
      </c>
      <c r="N1164">
        <v>101.074</v>
      </c>
      <c r="O1164" s="1">
        <v>4.07E-6</v>
      </c>
      <c r="P1164">
        <v>0</v>
      </c>
      <c r="Q1164">
        <v>11</v>
      </c>
      <c r="R1164" t="s">
        <v>2528</v>
      </c>
      <c r="S1164" t="s">
        <v>2529</v>
      </c>
      <c r="T1164">
        <f>I1164*-0.5+M1164*0.5</f>
        <v>-9.650000000000003E-2</v>
      </c>
      <c r="U1164">
        <f>I1164*0.7+M1164*-0.25+D1164*-0.25</f>
        <v>0.39844999999999992</v>
      </c>
      <c r="V1164">
        <f>J1164*0.5+I1164*-0.5</f>
        <v>-0.43645</v>
      </c>
      <c r="W1164">
        <f>M1164*0.5+G1164*0.25+I1164*0.25</f>
        <v>0.78374999999999995</v>
      </c>
    </row>
    <row r="1165" spans="1:23" x14ac:dyDescent="0.2">
      <c r="A1165">
        <v>0.13400000000000001</v>
      </c>
      <c r="B1165">
        <v>8</v>
      </c>
      <c r="C1165">
        <v>4</v>
      </c>
      <c r="D1165">
        <v>0.33400000000000002</v>
      </c>
      <c r="E1165">
        <v>-8.5079999999999991</v>
      </c>
      <c r="F1165">
        <v>185131</v>
      </c>
      <c r="G1165">
        <v>0.82499999999999996</v>
      </c>
      <c r="H1165">
        <v>179</v>
      </c>
      <c r="I1165">
        <v>0.96399999999999997</v>
      </c>
      <c r="J1165">
        <v>0.26500000000000001</v>
      </c>
      <c r="K1165" t="s">
        <v>2872</v>
      </c>
      <c r="L1165">
        <v>56</v>
      </c>
      <c r="M1165">
        <v>0.77</v>
      </c>
      <c r="N1165">
        <v>139.982</v>
      </c>
      <c r="O1165">
        <v>0</v>
      </c>
      <c r="P1165">
        <v>1</v>
      </c>
      <c r="Q1165">
        <v>4</v>
      </c>
      <c r="R1165" t="s">
        <v>2873</v>
      </c>
      <c r="S1165" t="s">
        <v>2874</v>
      </c>
      <c r="T1165">
        <f>I1165*-0.5+M1165*0.5</f>
        <v>-9.6999999999999975E-2</v>
      </c>
      <c r="U1165">
        <f>I1165*0.7+M1165*-0.25+D1165*-0.25</f>
        <v>0.39879999999999993</v>
      </c>
      <c r="V1165">
        <f>J1165*0.5+I1165*-0.5</f>
        <v>-0.34949999999999998</v>
      </c>
      <c r="W1165">
        <f>M1165*0.5+G1165*0.25+I1165*0.25</f>
        <v>0.83225000000000005</v>
      </c>
    </row>
    <row r="1166" spans="1:23" x14ac:dyDescent="0.2">
      <c r="A1166">
        <v>0.161</v>
      </c>
      <c r="B1166">
        <v>6</v>
      </c>
      <c r="C1166">
        <v>4</v>
      </c>
      <c r="D1166">
        <v>9.1300000000000006E-2</v>
      </c>
      <c r="E1166">
        <v>-8.6859999999999999</v>
      </c>
      <c r="F1166">
        <v>208573</v>
      </c>
      <c r="G1166">
        <v>0.58799999999999997</v>
      </c>
      <c r="H1166">
        <v>205</v>
      </c>
      <c r="I1166">
        <v>0.65800000000000003</v>
      </c>
      <c r="J1166">
        <v>0.23699999999999999</v>
      </c>
      <c r="K1166" t="s">
        <v>2992</v>
      </c>
      <c r="L1166">
        <v>16</v>
      </c>
      <c r="M1166">
        <v>0.46100000000000002</v>
      </c>
      <c r="N1166">
        <v>200.053</v>
      </c>
      <c r="O1166" s="1">
        <v>1.5400000000000002E-5</v>
      </c>
      <c r="P1166">
        <v>0</v>
      </c>
      <c r="Q1166">
        <v>3</v>
      </c>
      <c r="R1166" t="s">
        <v>1459</v>
      </c>
      <c r="S1166" t="s">
        <v>2993</v>
      </c>
      <c r="T1166">
        <f>I1166*-0.5+M1166*0.5</f>
        <v>-9.8500000000000004E-2</v>
      </c>
      <c r="U1166">
        <f>I1166*0.7+M1166*-0.25+D1166*-0.25</f>
        <v>0.32252500000000001</v>
      </c>
      <c r="V1166">
        <f>J1166*0.5+I1166*-0.5</f>
        <v>-0.21050000000000002</v>
      </c>
      <c r="W1166">
        <f>M1166*0.5+G1166*0.25+I1166*0.25</f>
        <v>0.54200000000000004</v>
      </c>
    </row>
    <row r="1167" spans="1:23" x14ac:dyDescent="0.2">
      <c r="A1167">
        <v>0.12</v>
      </c>
      <c r="B1167">
        <v>10</v>
      </c>
      <c r="C1167">
        <v>4</v>
      </c>
      <c r="D1167">
        <v>0.309</v>
      </c>
      <c r="E1167">
        <v>-5.0609999999999999</v>
      </c>
      <c r="F1167">
        <v>220040</v>
      </c>
      <c r="G1167">
        <v>0.90300000000000002</v>
      </c>
      <c r="H1167">
        <v>219</v>
      </c>
      <c r="I1167">
        <v>0.873</v>
      </c>
      <c r="J1167">
        <v>1.9900000000000001E-2</v>
      </c>
      <c r="K1167" t="s">
        <v>2568</v>
      </c>
      <c r="L1167">
        <v>31</v>
      </c>
      <c r="M1167">
        <v>0.67400000000000004</v>
      </c>
      <c r="N1167">
        <v>106.952</v>
      </c>
      <c r="O1167">
        <v>0</v>
      </c>
      <c r="P1167">
        <v>0</v>
      </c>
      <c r="Q1167">
        <v>12</v>
      </c>
      <c r="R1167" t="s">
        <v>2569</v>
      </c>
      <c r="S1167" t="s">
        <v>2570</v>
      </c>
      <c r="T1167">
        <f>I1167*-0.5+M1167*0.5</f>
        <v>-9.9499999999999977E-2</v>
      </c>
      <c r="U1167">
        <f>I1167*0.7+M1167*-0.25+D1167*-0.25</f>
        <v>0.36535000000000001</v>
      </c>
      <c r="V1167">
        <f>J1167*0.5+I1167*-0.5</f>
        <v>-0.42654999999999998</v>
      </c>
      <c r="W1167">
        <f>M1167*0.5+G1167*0.25+I1167*0.25</f>
        <v>0.78100000000000014</v>
      </c>
    </row>
    <row r="1168" spans="1:23" x14ac:dyDescent="0.2">
      <c r="A1168">
        <v>8.3699999999999997E-2</v>
      </c>
      <c r="B1168">
        <v>8</v>
      </c>
      <c r="C1168">
        <v>4</v>
      </c>
      <c r="D1168">
        <v>0.157</v>
      </c>
      <c r="E1168">
        <v>-8.6790000000000003</v>
      </c>
      <c r="F1168">
        <v>233039</v>
      </c>
      <c r="G1168">
        <v>0.56799999999999995</v>
      </c>
      <c r="H1168">
        <v>233</v>
      </c>
      <c r="I1168">
        <v>0.90600000000000003</v>
      </c>
      <c r="J1168">
        <v>0.17499999999999999</v>
      </c>
      <c r="K1168" t="s">
        <v>2811</v>
      </c>
      <c r="L1168">
        <v>1</v>
      </c>
      <c r="M1168">
        <v>0.70599999999999996</v>
      </c>
      <c r="N1168">
        <v>184.126</v>
      </c>
      <c r="O1168">
        <v>0</v>
      </c>
      <c r="P1168">
        <v>0</v>
      </c>
      <c r="Q1168">
        <v>10</v>
      </c>
      <c r="R1168" t="s">
        <v>2812</v>
      </c>
      <c r="S1168" t="s">
        <v>2813</v>
      </c>
      <c r="T1168">
        <f>I1168*-0.5+M1168*0.5</f>
        <v>-0.10000000000000003</v>
      </c>
      <c r="U1168">
        <f>I1168*0.7+M1168*-0.25+D1168*-0.25</f>
        <v>0.41844999999999999</v>
      </c>
      <c r="V1168">
        <f>J1168*0.5+I1168*-0.5</f>
        <v>-0.36550000000000005</v>
      </c>
      <c r="W1168">
        <f>M1168*0.5+G1168*0.25+I1168*0.25</f>
        <v>0.72150000000000003</v>
      </c>
    </row>
    <row r="1169" spans="1:23" x14ac:dyDescent="0.2">
      <c r="A1169">
        <v>0.06</v>
      </c>
      <c r="B1169">
        <v>1</v>
      </c>
      <c r="C1169">
        <v>4</v>
      </c>
      <c r="D1169">
        <v>0.34899999999999998</v>
      </c>
      <c r="E1169">
        <v>-5.2809999999999997</v>
      </c>
      <c r="F1169">
        <v>190453</v>
      </c>
      <c r="G1169">
        <v>0.79500000000000004</v>
      </c>
      <c r="H1169">
        <v>187</v>
      </c>
      <c r="I1169">
        <v>0.81799999999999995</v>
      </c>
      <c r="J1169">
        <v>0.41699999999999998</v>
      </c>
      <c r="K1169" t="s">
        <v>3052</v>
      </c>
      <c r="L1169">
        <v>56</v>
      </c>
      <c r="M1169">
        <v>0.61599999999999999</v>
      </c>
      <c r="N1169">
        <v>110.015</v>
      </c>
      <c r="O1169">
        <v>0</v>
      </c>
      <c r="P1169">
        <v>0</v>
      </c>
      <c r="Q1169">
        <v>10</v>
      </c>
      <c r="R1169" t="s">
        <v>3053</v>
      </c>
      <c r="S1169" t="s">
        <v>3054</v>
      </c>
      <c r="T1169">
        <f>I1169*-0.5+M1169*0.5</f>
        <v>-0.10099999999999998</v>
      </c>
      <c r="U1169">
        <f>I1169*0.7+M1169*-0.25+D1169*-0.25</f>
        <v>0.33134999999999987</v>
      </c>
      <c r="V1169">
        <f>J1169*0.5+I1169*-0.5</f>
        <v>-0.20049999999999998</v>
      </c>
      <c r="W1169">
        <f>M1169*0.5+G1169*0.25+I1169*0.25</f>
        <v>0.71125000000000005</v>
      </c>
    </row>
    <row r="1170" spans="1:23" x14ac:dyDescent="0.2">
      <c r="A1170">
        <v>0.215</v>
      </c>
      <c r="B1170">
        <v>1</v>
      </c>
      <c r="C1170">
        <v>4</v>
      </c>
      <c r="D1170">
        <v>4.1399999999999999E-2</v>
      </c>
      <c r="E1170">
        <v>-6.0279999999999996</v>
      </c>
      <c r="F1170">
        <v>282533</v>
      </c>
      <c r="G1170">
        <v>0.83299999999999996</v>
      </c>
      <c r="H1170">
        <v>232</v>
      </c>
      <c r="I1170">
        <v>0.88300000000000001</v>
      </c>
      <c r="J1170">
        <v>9.5600000000000004E-2</v>
      </c>
      <c r="K1170" t="s">
        <v>2711</v>
      </c>
      <c r="L1170">
        <v>12</v>
      </c>
      <c r="M1170">
        <v>0.68100000000000005</v>
      </c>
      <c r="N1170">
        <v>95.48</v>
      </c>
      <c r="O1170">
        <v>0</v>
      </c>
      <c r="P1170">
        <v>0</v>
      </c>
      <c r="Q1170">
        <v>2</v>
      </c>
      <c r="R1170" t="s">
        <v>2712</v>
      </c>
      <c r="S1170" t="s">
        <v>2713</v>
      </c>
      <c r="T1170">
        <f>I1170*-0.5+M1170*0.5</f>
        <v>-0.10099999999999998</v>
      </c>
      <c r="U1170">
        <f>I1170*0.7+M1170*-0.25+D1170*-0.25</f>
        <v>0.43749999999999994</v>
      </c>
      <c r="V1170">
        <f>J1170*0.5+I1170*-0.5</f>
        <v>-0.39369999999999999</v>
      </c>
      <c r="W1170">
        <f>M1170*0.5+G1170*0.25+I1170*0.25</f>
        <v>0.76950000000000007</v>
      </c>
    </row>
    <row r="1171" spans="1:23" x14ac:dyDescent="0.2">
      <c r="A1171">
        <v>3.0700000000000002E-2</v>
      </c>
      <c r="B1171">
        <v>0</v>
      </c>
      <c r="C1171">
        <v>4</v>
      </c>
      <c r="D1171">
        <v>0.443</v>
      </c>
      <c r="E1171">
        <v>-5.7450000000000001</v>
      </c>
      <c r="F1171">
        <v>211067</v>
      </c>
      <c r="G1171">
        <v>0.75900000000000001</v>
      </c>
      <c r="H1171">
        <v>212</v>
      </c>
      <c r="I1171">
        <v>0.90100000000000002</v>
      </c>
      <c r="J1171">
        <v>0.20200000000000001</v>
      </c>
      <c r="K1171" t="s">
        <v>2860</v>
      </c>
      <c r="L1171">
        <v>2</v>
      </c>
      <c r="M1171">
        <v>0.69899999999999995</v>
      </c>
      <c r="N1171">
        <v>92.96</v>
      </c>
      <c r="O1171">
        <v>1.3100000000000001E-4</v>
      </c>
      <c r="P1171">
        <v>0</v>
      </c>
      <c r="Q1171">
        <v>1</v>
      </c>
      <c r="R1171" t="s">
        <v>623</v>
      </c>
      <c r="S1171" t="s">
        <v>2861</v>
      </c>
      <c r="T1171">
        <f>I1171*-0.5+M1171*0.5</f>
        <v>-0.10100000000000003</v>
      </c>
      <c r="U1171">
        <f>I1171*0.7+M1171*-0.25+D1171*-0.25</f>
        <v>0.34519999999999995</v>
      </c>
      <c r="V1171">
        <f>J1171*0.5+I1171*-0.5</f>
        <v>-0.34950000000000003</v>
      </c>
      <c r="W1171">
        <f>M1171*0.5+G1171*0.25+I1171*0.25</f>
        <v>0.76449999999999996</v>
      </c>
    </row>
    <row r="1172" spans="1:23" x14ac:dyDescent="0.2">
      <c r="A1172">
        <v>6.3399999999999998E-2</v>
      </c>
      <c r="B1172">
        <v>6</v>
      </c>
      <c r="C1172">
        <v>4</v>
      </c>
      <c r="D1172">
        <v>0.31</v>
      </c>
      <c r="E1172">
        <v>-5.6580000000000004</v>
      </c>
      <c r="F1172">
        <v>216347</v>
      </c>
      <c r="G1172">
        <v>0.89200000000000002</v>
      </c>
      <c r="H1172">
        <v>215</v>
      </c>
      <c r="I1172">
        <v>0.84399999999999997</v>
      </c>
      <c r="J1172">
        <v>6.3099999999999996E-3</v>
      </c>
      <c r="K1172" t="s">
        <v>2577</v>
      </c>
      <c r="L1172">
        <v>32</v>
      </c>
      <c r="M1172">
        <v>0.64100000000000001</v>
      </c>
      <c r="N1172">
        <v>105.059</v>
      </c>
      <c r="O1172" s="1">
        <v>3.1499999999999999E-6</v>
      </c>
      <c r="P1172">
        <v>0</v>
      </c>
      <c r="Q1172">
        <v>2</v>
      </c>
      <c r="R1172" t="s">
        <v>270</v>
      </c>
      <c r="S1172" t="s">
        <v>2578</v>
      </c>
      <c r="T1172">
        <f>I1172*-0.5+M1172*0.5</f>
        <v>-0.10149999999999998</v>
      </c>
      <c r="U1172">
        <f>I1172*0.7+M1172*-0.25+D1172*-0.25</f>
        <v>0.35304999999999997</v>
      </c>
      <c r="V1172">
        <f>J1172*0.5+I1172*-0.5</f>
        <v>-0.41884499999999997</v>
      </c>
      <c r="W1172">
        <f>M1172*0.5+G1172*0.25+I1172*0.25</f>
        <v>0.75449999999999995</v>
      </c>
    </row>
    <row r="1173" spans="1:23" x14ac:dyDescent="0.2">
      <c r="A1173">
        <v>3.4000000000000002E-2</v>
      </c>
      <c r="B1173">
        <v>0</v>
      </c>
      <c r="C1173">
        <v>4</v>
      </c>
      <c r="D1173">
        <v>8.48E-2</v>
      </c>
      <c r="E1173">
        <v>-4.4690000000000003</v>
      </c>
      <c r="F1173">
        <v>255573</v>
      </c>
      <c r="G1173">
        <v>0.80800000000000005</v>
      </c>
      <c r="H1173">
        <v>220</v>
      </c>
      <c r="I1173">
        <v>0.78800000000000003</v>
      </c>
      <c r="J1173">
        <v>1.6199999999999999E-2</v>
      </c>
      <c r="K1173" t="s">
        <v>2664</v>
      </c>
      <c r="L1173">
        <v>18</v>
      </c>
      <c r="M1173">
        <v>0.58399999999999996</v>
      </c>
      <c r="N1173">
        <v>111.96599999999999</v>
      </c>
      <c r="O1173">
        <v>0.504</v>
      </c>
      <c r="P1173">
        <v>1</v>
      </c>
      <c r="Q1173">
        <v>16</v>
      </c>
      <c r="R1173" t="s">
        <v>1261</v>
      </c>
      <c r="S1173" t="s">
        <v>2665</v>
      </c>
      <c r="T1173">
        <f>I1173*-0.5+M1173*0.5</f>
        <v>-0.10200000000000004</v>
      </c>
      <c r="U1173">
        <f>I1173*0.7+M1173*-0.25+D1173*-0.25</f>
        <v>0.38439999999999996</v>
      </c>
      <c r="V1173">
        <f>J1173*0.5+I1173*-0.5</f>
        <v>-0.38590000000000002</v>
      </c>
      <c r="W1173">
        <f>M1173*0.5+G1173*0.25+I1173*0.25</f>
        <v>0.69100000000000006</v>
      </c>
    </row>
    <row r="1174" spans="1:23" x14ac:dyDescent="0.2">
      <c r="A1174">
        <v>0.153</v>
      </c>
      <c r="B1174">
        <v>1</v>
      </c>
      <c r="C1174">
        <v>4</v>
      </c>
      <c r="D1174">
        <v>8.8599999999999998E-2</v>
      </c>
      <c r="E1174">
        <v>-6.819</v>
      </c>
      <c r="F1174">
        <v>233305</v>
      </c>
      <c r="G1174">
        <v>0.65200000000000002</v>
      </c>
      <c r="H1174">
        <v>231</v>
      </c>
      <c r="I1174">
        <v>0.96199999999999997</v>
      </c>
      <c r="J1174">
        <v>0.28599999999999998</v>
      </c>
      <c r="K1174" t="s">
        <v>2906</v>
      </c>
      <c r="L1174">
        <v>50</v>
      </c>
      <c r="M1174">
        <v>0.75700000000000001</v>
      </c>
      <c r="N1174">
        <v>159.911</v>
      </c>
      <c r="O1174">
        <v>0</v>
      </c>
      <c r="P1174">
        <v>1</v>
      </c>
      <c r="Q1174">
        <v>1</v>
      </c>
      <c r="R1174" t="s">
        <v>2907</v>
      </c>
      <c r="S1174" t="s">
        <v>2908</v>
      </c>
      <c r="T1174">
        <f>I1174*-0.5+M1174*0.5</f>
        <v>-0.10249999999999998</v>
      </c>
      <c r="U1174">
        <f>I1174*0.7+M1174*-0.25+D1174*-0.25</f>
        <v>0.46199999999999986</v>
      </c>
      <c r="V1174">
        <f>J1174*0.5+I1174*-0.5</f>
        <v>-0.33799999999999997</v>
      </c>
      <c r="W1174">
        <f>M1174*0.5+G1174*0.25+I1174*0.25</f>
        <v>0.78200000000000003</v>
      </c>
    </row>
    <row r="1175" spans="1:23" x14ac:dyDescent="0.2">
      <c r="A1175">
        <v>0.20699999999999999</v>
      </c>
      <c r="B1175">
        <v>6</v>
      </c>
      <c r="C1175">
        <v>4</v>
      </c>
      <c r="D1175">
        <v>5.7500000000000002E-2</v>
      </c>
      <c r="E1175">
        <v>-5.46</v>
      </c>
      <c r="F1175">
        <v>187840</v>
      </c>
      <c r="G1175">
        <v>0.84399999999999997</v>
      </c>
      <c r="H1175">
        <v>168</v>
      </c>
      <c r="I1175">
        <v>0.96099999999999997</v>
      </c>
      <c r="J1175">
        <v>8.3300000000000006E-3</v>
      </c>
      <c r="K1175" t="s">
        <v>2477</v>
      </c>
      <c r="L1175">
        <v>12</v>
      </c>
      <c r="M1175">
        <v>0.754</v>
      </c>
      <c r="N1175">
        <v>100.002</v>
      </c>
      <c r="O1175" s="1">
        <v>3.4199999999999999E-6</v>
      </c>
      <c r="P1175">
        <v>1</v>
      </c>
      <c r="Q1175">
        <v>3</v>
      </c>
      <c r="R1175" t="s">
        <v>1199</v>
      </c>
      <c r="S1175" t="s">
        <v>2478</v>
      </c>
      <c r="T1175">
        <f>I1175*-0.5+M1175*0.5</f>
        <v>-0.10349999999999998</v>
      </c>
      <c r="U1175">
        <f>I1175*0.7+M1175*-0.25+D1175*-0.25</f>
        <v>0.46982499999999994</v>
      </c>
      <c r="V1175">
        <f>J1175*0.5+I1175*-0.5</f>
        <v>-0.47633500000000001</v>
      </c>
      <c r="W1175">
        <f>M1175*0.5+G1175*0.25+I1175*0.25</f>
        <v>0.82824999999999993</v>
      </c>
    </row>
    <row r="1176" spans="1:23" x14ac:dyDescent="0.2">
      <c r="A1176">
        <v>6.2799999999999995E-2</v>
      </c>
      <c r="B1176">
        <v>0</v>
      </c>
      <c r="C1176">
        <v>4</v>
      </c>
      <c r="D1176">
        <v>4.99E-2</v>
      </c>
      <c r="E1176">
        <v>-8.0220000000000002</v>
      </c>
      <c r="F1176">
        <v>210600</v>
      </c>
      <c r="G1176">
        <v>0.79700000000000004</v>
      </c>
      <c r="H1176">
        <v>209</v>
      </c>
      <c r="I1176">
        <v>0.83199999999999996</v>
      </c>
      <c r="J1176">
        <v>8.8599999999999998E-2</v>
      </c>
      <c r="K1176" t="s">
        <v>2766</v>
      </c>
      <c r="L1176">
        <v>39</v>
      </c>
      <c r="M1176">
        <v>0.624</v>
      </c>
      <c r="N1176">
        <v>113.035</v>
      </c>
      <c r="O1176">
        <v>0</v>
      </c>
      <c r="P1176">
        <v>1</v>
      </c>
      <c r="Q1176">
        <v>20</v>
      </c>
      <c r="R1176" t="s">
        <v>2767</v>
      </c>
      <c r="S1176" t="s">
        <v>2768</v>
      </c>
      <c r="T1176">
        <f>I1176*-0.5+M1176*0.5</f>
        <v>-0.10399999999999998</v>
      </c>
      <c r="U1176">
        <f>I1176*0.7+M1176*-0.25+D1176*-0.25</f>
        <v>0.41392499999999988</v>
      </c>
      <c r="V1176">
        <f>J1176*0.5+I1176*-0.5</f>
        <v>-0.37169999999999997</v>
      </c>
      <c r="W1176">
        <f>M1176*0.5+G1176*0.25+I1176*0.25</f>
        <v>0.71924999999999994</v>
      </c>
    </row>
    <row r="1177" spans="1:23" x14ac:dyDescent="0.2">
      <c r="A1177">
        <v>4.9099999999999998E-2</v>
      </c>
      <c r="B1177">
        <v>5</v>
      </c>
      <c r="C1177">
        <v>4</v>
      </c>
      <c r="D1177">
        <v>0.29799999999999999</v>
      </c>
      <c r="E1177">
        <v>-6.306</v>
      </c>
      <c r="F1177">
        <v>223000</v>
      </c>
      <c r="G1177">
        <v>0.82599999999999996</v>
      </c>
      <c r="H1177">
        <v>223</v>
      </c>
      <c r="I1177">
        <v>0.85499999999999998</v>
      </c>
      <c r="J1177">
        <v>2.7699999999999999E-2</v>
      </c>
      <c r="K1177" t="s">
        <v>2621</v>
      </c>
      <c r="L1177">
        <v>17</v>
      </c>
      <c r="M1177">
        <v>0.64700000000000002</v>
      </c>
      <c r="N1177">
        <v>102.017</v>
      </c>
      <c r="O1177" s="1">
        <v>1.5200000000000001E-6</v>
      </c>
      <c r="P1177">
        <v>0</v>
      </c>
      <c r="Q1177">
        <v>3</v>
      </c>
      <c r="R1177" t="s">
        <v>2622</v>
      </c>
      <c r="S1177" t="s">
        <v>2623</v>
      </c>
      <c r="T1177">
        <f>I1177*-0.5+M1177*0.5</f>
        <v>-0.10399999999999998</v>
      </c>
      <c r="U1177">
        <f>I1177*0.7+M1177*-0.25+D1177*-0.25</f>
        <v>0.36224999999999991</v>
      </c>
      <c r="V1177">
        <f>J1177*0.5+I1177*-0.5</f>
        <v>-0.41365000000000002</v>
      </c>
      <c r="W1177">
        <f>M1177*0.5+G1177*0.25+I1177*0.25</f>
        <v>0.74375000000000002</v>
      </c>
    </row>
    <row r="1178" spans="1:23" x14ac:dyDescent="0.2">
      <c r="A1178">
        <v>0.13400000000000001</v>
      </c>
      <c r="B1178">
        <v>5</v>
      </c>
      <c r="C1178">
        <v>4</v>
      </c>
      <c r="D1178">
        <v>7.4099999999999999E-2</v>
      </c>
      <c r="E1178">
        <v>-6.4240000000000004</v>
      </c>
      <c r="F1178">
        <v>216467</v>
      </c>
      <c r="G1178">
        <v>0.75</v>
      </c>
      <c r="H1178">
        <v>215</v>
      </c>
      <c r="I1178">
        <v>0.81200000000000006</v>
      </c>
      <c r="J1178">
        <v>3.1199999999999999E-2</v>
      </c>
      <c r="K1178" t="s">
        <v>2679</v>
      </c>
      <c r="L1178">
        <v>20</v>
      </c>
      <c r="M1178">
        <v>0.60199999999999998</v>
      </c>
      <c r="N1178">
        <v>97.01</v>
      </c>
      <c r="O1178">
        <v>0</v>
      </c>
      <c r="P1178">
        <v>1</v>
      </c>
      <c r="Q1178">
        <v>10</v>
      </c>
      <c r="R1178" t="s">
        <v>1237</v>
      </c>
      <c r="S1178" t="s">
        <v>2680</v>
      </c>
      <c r="T1178">
        <f>I1178*-0.5+M1178*0.5</f>
        <v>-0.10500000000000004</v>
      </c>
      <c r="U1178">
        <f>I1178*0.7+M1178*-0.25+D1178*-0.25</f>
        <v>0.39937500000000004</v>
      </c>
      <c r="V1178">
        <f>J1178*0.5+I1178*-0.5</f>
        <v>-0.39040000000000002</v>
      </c>
      <c r="W1178">
        <f>M1178*0.5+G1178*0.25+I1178*0.25</f>
        <v>0.6915</v>
      </c>
    </row>
    <row r="1179" spans="1:23" x14ac:dyDescent="0.2">
      <c r="A1179">
        <v>4.02E-2</v>
      </c>
      <c r="B1179">
        <v>7</v>
      </c>
      <c r="C1179">
        <v>4</v>
      </c>
      <c r="D1179">
        <v>8.5599999999999996E-2</v>
      </c>
      <c r="E1179">
        <v>-4.7619999999999996</v>
      </c>
      <c r="F1179">
        <v>263827</v>
      </c>
      <c r="G1179">
        <v>0.86199999999999999</v>
      </c>
      <c r="H1179">
        <v>261</v>
      </c>
      <c r="I1179">
        <v>0.82499999999999996</v>
      </c>
      <c r="J1179">
        <v>3.7299999999999998E-3</v>
      </c>
      <c r="K1179" t="s">
        <v>2647</v>
      </c>
      <c r="L1179">
        <v>48</v>
      </c>
      <c r="M1179">
        <v>0.60799999999999998</v>
      </c>
      <c r="N1179">
        <v>120.002</v>
      </c>
      <c r="O1179" s="1">
        <v>6.1399999999999997E-6</v>
      </c>
      <c r="P1179">
        <v>1</v>
      </c>
      <c r="Q1179">
        <v>2</v>
      </c>
      <c r="R1179" t="s">
        <v>2648</v>
      </c>
      <c r="S1179" t="s">
        <v>2649</v>
      </c>
      <c r="T1179">
        <f>I1179*-0.5+M1179*0.5</f>
        <v>-0.10849999999999999</v>
      </c>
      <c r="U1179">
        <f>I1179*0.7+M1179*-0.25+D1179*-0.25</f>
        <v>0.4040999999999999</v>
      </c>
      <c r="V1179">
        <f>J1179*0.5+I1179*-0.5</f>
        <v>-0.41063499999999997</v>
      </c>
      <c r="W1179">
        <f>M1179*0.5+G1179*0.25+I1179*0.25</f>
        <v>0.7257499999999999</v>
      </c>
    </row>
    <row r="1180" spans="1:23" x14ac:dyDescent="0.2">
      <c r="A1180">
        <v>4.19E-2</v>
      </c>
      <c r="B1180">
        <v>6</v>
      </c>
      <c r="C1180">
        <v>4</v>
      </c>
      <c r="D1180">
        <v>4.0500000000000001E-2</v>
      </c>
      <c r="E1180">
        <v>-6.3570000000000002</v>
      </c>
      <c r="F1180">
        <v>208693</v>
      </c>
      <c r="G1180">
        <v>0.69599999999999995</v>
      </c>
      <c r="H1180">
        <v>204</v>
      </c>
      <c r="I1180">
        <v>0.94199999999999995</v>
      </c>
      <c r="J1180">
        <v>0.249</v>
      </c>
      <c r="K1180" t="s">
        <v>2896</v>
      </c>
      <c r="L1180">
        <v>5</v>
      </c>
      <c r="M1180">
        <v>0.72299999999999998</v>
      </c>
      <c r="N1180">
        <v>107.979</v>
      </c>
      <c r="O1180">
        <v>0</v>
      </c>
      <c r="P1180">
        <v>0</v>
      </c>
      <c r="Q1180">
        <v>6</v>
      </c>
      <c r="R1180" t="s">
        <v>2897</v>
      </c>
      <c r="S1180" t="s">
        <v>2898</v>
      </c>
      <c r="T1180">
        <f>I1180*-0.5+M1180*0.5</f>
        <v>-0.10949999999999999</v>
      </c>
      <c r="U1180">
        <f>I1180*0.7+M1180*-0.25+D1180*-0.25</f>
        <v>0.46852499999999991</v>
      </c>
      <c r="V1180">
        <f>J1180*0.5+I1180*-0.5</f>
        <v>-0.34649999999999997</v>
      </c>
      <c r="W1180">
        <f>M1180*0.5+G1180*0.25+I1180*0.25</f>
        <v>0.77099999999999991</v>
      </c>
    </row>
    <row r="1181" spans="1:23" x14ac:dyDescent="0.2">
      <c r="A1181">
        <v>2.4799999999999999E-2</v>
      </c>
      <c r="B1181">
        <v>2</v>
      </c>
      <c r="C1181">
        <v>4</v>
      </c>
      <c r="D1181">
        <v>7.2800000000000004E-2</v>
      </c>
      <c r="E1181">
        <v>-7.52</v>
      </c>
      <c r="F1181">
        <v>230973</v>
      </c>
      <c r="G1181">
        <v>0.63800000000000001</v>
      </c>
      <c r="H1181">
        <v>224</v>
      </c>
      <c r="I1181">
        <v>0.55700000000000005</v>
      </c>
      <c r="J1181">
        <v>0.75900000000000001</v>
      </c>
      <c r="K1181" t="s">
        <v>3139</v>
      </c>
      <c r="L1181">
        <v>15</v>
      </c>
      <c r="M1181">
        <v>0.33600000000000002</v>
      </c>
      <c r="N1181">
        <v>78.86</v>
      </c>
      <c r="O1181">
        <v>0</v>
      </c>
      <c r="P1181">
        <v>1</v>
      </c>
      <c r="Q1181">
        <v>14</v>
      </c>
      <c r="R1181" t="s">
        <v>887</v>
      </c>
      <c r="S1181" t="s">
        <v>3140</v>
      </c>
      <c r="T1181">
        <f>I1181*-0.5+M1181*0.5</f>
        <v>-0.11050000000000001</v>
      </c>
      <c r="U1181">
        <f>I1181*0.7+M1181*-0.25+D1181*-0.25</f>
        <v>0.28770000000000001</v>
      </c>
      <c r="V1181">
        <f>J1181*0.5+I1181*-0.5</f>
        <v>0.10099999999999998</v>
      </c>
      <c r="W1181">
        <f>M1181*0.5+G1181*0.25+I1181*0.25</f>
        <v>0.46675</v>
      </c>
    </row>
    <row r="1182" spans="1:23" x14ac:dyDescent="0.2">
      <c r="A1182">
        <v>6.88E-2</v>
      </c>
      <c r="B1182">
        <v>2</v>
      </c>
      <c r="C1182">
        <v>4</v>
      </c>
      <c r="D1182">
        <v>5.9200000000000003E-2</v>
      </c>
      <c r="E1182">
        <v>-4.9550000000000001</v>
      </c>
      <c r="F1182">
        <v>223293</v>
      </c>
      <c r="G1182">
        <v>0.85499999999999998</v>
      </c>
      <c r="H1182">
        <v>186</v>
      </c>
      <c r="I1182">
        <v>0.90300000000000002</v>
      </c>
      <c r="J1182">
        <v>8.8099999999999998E-2</v>
      </c>
      <c r="K1182" t="s">
        <v>2730</v>
      </c>
      <c r="L1182">
        <v>10</v>
      </c>
      <c r="M1182">
        <v>0.68100000000000005</v>
      </c>
      <c r="N1182">
        <v>99.698999999999998</v>
      </c>
      <c r="O1182" s="1">
        <v>3.7000000000000002E-6</v>
      </c>
      <c r="P1182">
        <v>1</v>
      </c>
      <c r="Q1182">
        <v>10</v>
      </c>
      <c r="R1182" t="s">
        <v>2193</v>
      </c>
      <c r="S1182" t="s">
        <v>2731</v>
      </c>
      <c r="T1182">
        <f>I1182*-0.5+M1182*0.5</f>
        <v>-0.11099999999999999</v>
      </c>
      <c r="U1182">
        <f>I1182*0.7+M1182*-0.25+D1182*-0.25</f>
        <v>0.44705</v>
      </c>
      <c r="V1182">
        <f>J1182*0.5+I1182*-0.5</f>
        <v>-0.40745000000000003</v>
      </c>
      <c r="W1182">
        <f>M1182*0.5+G1182*0.25+I1182*0.25</f>
        <v>0.78</v>
      </c>
    </row>
    <row r="1183" spans="1:23" x14ac:dyDescent="0.2">
      <c r="A1183">
        <v>0.13200000000000001</v>
      </c>
      <c r="B1183">
        <v>11</v>
      </c>
      <c r="C1183">
        <v>4</v>
      </c>
      <c r="D1183">
        <v>8.8099999999999998E-2</v>
      </c>
      <c r="E1183">
        <v>-4.9359999999999999</v>
      </c>
      <c r="F1183">
        <v>299147</v>
      </c>
      <c r="G1183">
        <v>0.89300000000000002</v>
      </c>
      <c r="H1183">
        <v>242</v>
      </c>
      <c r="I1183">
        <v>0.96199999999999997</v>
      </c>
      <c r="J1183">
        <v>0.29899999999999999</v>
      </c>
      <c r="K1183" t="s">
        <v>2953</v>
      </c>
      <c r="L1183">
        <v>12</v>
      </c>
      <c r="M1183">
        <v>0.74</v>
      </c>
      <c r="N1183">
        <v>101.02500000000001</v>
      </c>
      <c r="O1183">
        <v>0</v>
      </c>
      <c r="P1183">
        <v>0</v>
      </c>
      <c r="Q1183">
        <v>8</v>
      </c>
      <c r="R1183" t="s">
        <v>2954</v>
      </c>
      <c r="S1183" t="s">
        <v>2955</v>
      </c>
      <c r="T1183">
        <f>I1183*-0.5+M1183*0.5</f>
        <v>-0.11099999999999999</v>
      </c>
      <c r="U1183">
        <f>I1183*0.7+M1183*-0.25+D1183*-0.25</f>
        <v>0.46637499999999987</v>
      </c>
      <c r="V1183">
        <f>J1183*0.5+I1183*-0.5</f>
        <v>-0.33150000000000002</v>
      </c>
      <c r="W1183">
        <f>M1183*0.5+G1183*0.25+I1183*0.25</f>
        <v>0.83374999999999999</v>
      </c>
    </row>
    <row r="1184" spans="1:23" x14ac:dyDescent="0.2">
      <c r="A1184">
        <v>4.0399999999999998E-2</v>
      </c>
      <c r="B1184">
        <v>11</v>
      </c>
      <c r="C1184">
        <v>4</v>
      </c>
      <c r="D1184">
        <v>0.109</v>
      </c>
      <c r="E1184">
        <v>-9.9139999999999997</v>
      </c>
      <c r="F1184">
        <v>231802</v>
      </c>
      <c r="G1184">
        <v>0.79700000000000004</v>
      </c>
      <c r="H1184">
        <v>229</v>
      </c>
      <c r="I1184">
        <v>0.71499999999999997</v>
      </c>
      <c r="J1184">
        <v>1.9800000000000002E-2</v>
      </c>
      <c r="K1184" t="s">
        <v>2782</v>
      </c>
      <c r="L1184">
        <v>57</v>
      </c>
      <c r="M1184">
        <v>0.49</v>
      </c>
      <c r="N1184">
        <v>101.999</v>
      </c>
      <c r="O1184" s="1">
        <v>4.9699999999999998E-6</v>
      </c>
      <c r="P1184">
        <v>0</v>
      </c>
      <c r="Q1184">
        <v>22</v>
      </c>
      <c r="R1184" t="s">
        <v>2783</v>
      </c>
      <c r="S1184" t="s">
        <v>2784</v>
      </c>
      <c r="T1184">
        <f>I1184*-0.5+M1184*0.5</f>
        <v>-0.11249999999999999</v>
      </c>
      <c r="U1184">
        <f>I1184*0.7+M1184*-0.25+D1184*-0.25</f>
        <v>0.35074999999999995</v>
      </c>
      <c r="V1184">
        <f>J1184*0.5+I1184*-0.5</f>
        <v>-0.34759999999999996</v>
      </c>
      <c r="W1184">
        <f>M1184*0.5+G1184*0.25+I1184*0.25</f>
        <v>0.623</v>
      </c>
    </row>
    <row r="1185" spans="1:23" x14ac:dyDescent="0.2">
      <c r="A1185">
        <v>3.8699999999999998E-2</v>
      </c>
      <c r="B1185">
        <v>7</v>
      </c>
      <c r="C1185">
        <v>4</v>
      </c>
      <c r="D1185">
        <v>4.9599999999999998E-2</v>
      </c>
      <c r="E1185">
        <v>-4.5090000000000003</v>
      </c>
      <c r="F1185">
        <v>231693</v>
      </c>
      <c r="G1185">
        <v>0.76300000000000001</v>
      </c>
      <c r="H1185">
        <v>228</v>
      </c>
      <c r="I1185">
        <v>0.78200000000000003</v>
      </c>
      <c r="J1185">
        <v>9.5399999999999999E-3</v>
      </c>
      <c r="K1185" t="s">
        <v>2718</v>
      </c>
      <c r="L1185">
        <v>41</v>
      </c>
      <c r="M1185">
        <v>0.55600000000000005</v>
      </c>
      <c r="N1185">
        <v>126.985</v>
      </c>
      <c r="O1185">
        <v>0</v>
      </c>
      <c r="P1185">
        <v>1</v>
      </c>
      <c r="Q1185">
        <v>4</v>
      </c>
      <c r="R1185" t="s">
        <v>2719</v>
      </c>
      <c r="S1185" t="s">
        <v>2720</v>
      </c>
      <c r="T1185">
        <f>I1185*-0.5+M1185*0.5</f>
        <v>-0.11299999999999999</v>
      </c>
      <c r="U1185">
        <f>I1185*0.7+M1185*-0.25+D1185*-0.25</f>
        <v>0.39599999999999996</v>
      </c>
      <c r="V1185">
        <f>J1185*0.5+I1185*-0.5</f>
        <v>-0.38623000000000002</v>
      </c>
      <c r="W1185">
        <f>M1185*0.5+G1185*0.25+I1185*0.25</f>
        <v>0.66425000000000001</v>
      </c>
    </row>
    <row r="1186" spans="1:23" x14ac:dyDescent="0.2">
      <c r="A1186">
        <v>3.7699999999999997E-2</v>
      </c>
      <c r="B1186">
        <v>0</v>
      </c>
      <c r="C1186">
        <v>4</v>
      </c>
      <c r="D1186">
        <v>6.6699999999999995E-2</v>
      </c>
      <c r="E1186">
        <v>-8.7289999999999992</v>
      </c>
      <c r="F1186">
        <v>189907</v>
      </c>
      <c r="G1186">
        <v>0.84199999999999997</v>
      </c>
      <c r="H1186">
        <v>188</v>
      </c>
      <c r="I1186">
        <v>0.75800000000000001</v>
      </c>
      <c r="J1186">
        <v>9.7900000000000005E-4</v>
      </c>
      <c r="K1186" t="s">
        <v>2723</v>
      </c>
      <c r="L1186">
        <v>54</v>
      </c>
      <c r="M1186">
        <v>0.53100000000000003</v>
      </c>
      <c r="N1186">
        <v>105.01300000000001</v>
      </c>
      <c r="O1186" s="1">
        <v>1.34E-5</v>
      </c>
      <c r="P1186">
        <v>1</v>
      </c>
      <c r="Q1186">
        <v>9</v>
      </c>
      <c r="R1186" t="s">
        <v>2724</v>
      </c>
      <c r="S1186" t="s">
        <v>2725</v>
      </c>
      <c r="T1186">
        <f>I1186*-0.5+M1186*0.5</f>
        <v>-0.11349999999999999</v>
      </c>
      <c r="U1186">
        <f>I1186*0.7+M1186*-0.25+D1186*-0.25</f>
        <v>0.38117499999999993</v>
      </c>
      <c r="V1186">
        <f>J1186*0.5+I1186*-0.5</f>
        <v>-0.37851050000000003</v>
      </c>
      <c r="W1186">
        <f>M1186*0.5+G1186*0.25+I1186*0.25</f>
        <v>0.66549999999999998</v>
      </c>
    </row>
    <row r="1187" spans="1:23" x14ac:dyDescent="0.2">
      <c r="A1187">
        <v>8.0699999999999994E-2</v>
      </c>
      <c r="B1187">
        <v>10</v>
      </c>
      <c r="C1187">
        <v>3</v>
      </c>
      <c r="D1187">
        <v>8.7300000000000003E-2</v>
      </c>
      <c r="E1187">
        <v>-14.000999999999999</v>
      </c>
      <c r="F1187">
        <v>281467</v>
      </c>
      <c r="G1187">
        <v>0.46899999999999997</v>
      </c>
      <c r="H1187">
        <v>240</v>
      </c>
      <c r="I1187">
        <v>0.36</v>
      </c>
      <c r="J1187">
        <v>0.92900000000000005</v>
      </c>
      <c r="K1187" t="s">
        <v>3151</v>
      </c>
      <c r="L1187">
        <v>19</v>
      </c>
      <c r="M1187">
        <v>0.13200000000000001</v>
      </c>
      <c r="N1187">
        <v>67.010999999999996</v>
      </c>
      <c r="O1187">
        <v>0</v>
      </c>
      <c r="P1187">
        <v>1</v>
      </c>
      <c r="Q1187">
        <v>12</v>
      </c>
      <c r="R1187" t="s">
        <v>1496</v>
      </c>
      <c r="S1187" t="s">
        <v>3152</v>
      </c>
      <c r="T1187">
        <f>I1187*-0.5+M1187*0.5</f>
        <v>-0.11399999999999999</v>
      </c>
      <c r="U1187">
        <f>I1187*0.7+M1187*-0.25+D1187*-0.25</f>
        <v>0.19717499999999999</v>
      </c>
      <c r="V1187">
        <f>J1187*0.5+I1187*-0.5</f>
        <v>0.28450000000000003</v>
      </c>
      <c r="W1187">
        <f>M1187*0.5+G1187*0.25+I1187*0.25</f>
        <v>0.27324999999999999</v>
      </c>
    </row>
    <row r="1188" spans="1:23" x14ac:dyDescent="0.2">
      <c r="A1188">
        <v>3.8399999999999997E-2</v>
      </c>
      <c r="B1188">
        <v>0</v>
      </c>
      <c r="C1188">
        <v>4</v>
      </c>
      <c r="D1188">
        <v>0.10199999999999999</v>
      </c>
      <c r="E1188">
        <v>-6.9720000000000004</v>
      </c>
      <c r="F1188">
        <v>244973</v>
      </c>
      <c r="G1188">
        <v>0.85699999999999998</v>
      </c>
      <c r="H1188">
        <v>243</v>
      </c>
      <c r="I1188">
        <v>0.75</v>
      </c>
      <c r="J1188">
        <v>0.56499999999999995</v>
      </c>
      <c r="K1188" t="s">
        <v>3103</v>
      </c>
      <c r="L1188">
        <v>42</v>
      </c>
      <c r="M1188">
        <v>0.51700000000000002</v>
      </c>
      <c r="N1188">
        <v>129.06299999999999</v>
      </c>
      <c r="O1188">
        <v>1.95E-4</v>
      </c>
      <c r="P1188">
        <v>1</v>
      </c>
      <c r="Q1188">
        <v>13</v>
      </c>
      <c r="R1188" t="s">
        <v>3104</v>
      </c>
      <c r="S1188" t="s">
        <v>3105</v>
      </c>
      <c r="T1188">
        <f>I1188*-0.5+M1188*0.5</f>
        <v>-0.11649999999999999</v>
      </c>
      <c r="U1188">
        <f>I1188*0.7+M1188*-0.25+D1188*-0.25</f>
        <v>0.37024999999999991</v>
      </c>
      <c r="V1188">
        <f>J1188*0.5+I1188*-0.5</f>
        <v>-9.2500000000000027E-2</v>
      </c>
      <c r="W1188">
        <f>M1188*0.5+G1188*0.25+I1188*0.25</f>
        <v>0.66025</v>
      </c>
    </row>
    <row r="1189" spans="1:23" x14ac:dyDescent="0.2">
      <c r="A1189">
        <v>6.6900000000000001E-2</v>
      </c>
      <c r="B1189">
        <v>0</v>
      </c>
      <c r="C1189">
        <v>4</v>
      </c>
      <c r="D1189">
        <v>7.1800000000000003E-2</v>
      </c>
      <c r="E1189">
        <v>-4.6509999999999998</v>
      </c>
      <c r="F1189">
        <v>216467</v>
      </c>
      <c r="G1189">
        <v>0.95099999999999996</v>
      </c>
      <c r="H1189">
        <v>216</v>
      </c>
      <c r="I1189">
        <v>0.83</v>
      </c>
      <c r="J1189">
        <v>0.104</v>
      </c>
      <c r="K1189" t="s">
        <v>2840</v>
      </c>
      <c r="L1189">
        <v>22</v>
      </c>
      <c r="M1189">
        <v>0.59699999999999998</v>
      </c>
      <c r="N1189">
        <v>125.024</v>
      </c>
      <c r="O1189">
        <v>0</v>
      </c>
      <c r="P1189">
        <v>0</v>
      </c>
      <c r="Q1189">
        <v>2</v>
      </c>
      <c r="R1189" t="s">
        <v>2841</v>
      </c>
      <c r="S1189" t="s">
        <v>2842</v>
      </c>
      <c r="T1189">
        <f>I1189*-0.5+M1189*0.5</f>
        <v>-0.11649999999999999</v>
      </c>
      <c r="U1189">
        <f>I1189*0.7+M1189*-0.25+D1189*-0.25</f>
        <v>0.41379999999999995</v>
      </c>
      <c r="V1189">
        <f>J1189*0.5+I1189*-0.5</f>
        <v>-0.36299999999999999</v>
      </c>
      <c r="W1189">
        <f>M1189*0.5+G1189*0.25+I1189*0.25</f>
        <v>0.74375000000000002</v>
      </c>
    </row>
    <row r="1190" spans="1:23" x14ac:dyDescent="0.2">
      <c r="A1190">
        <v>8.2199999999999995E-2</v>
      </c>
      <c r="B1190">
        <v>4</v>
      </c>
      <c r="C1190">
        <v>4</v>
      </c>
      <c r="D1190">
        <v>0.192</v>
      </c>
      <c r="E1190">
        <v>-6.51</v>
      </c>
      <c r="F1190">
        <v>223387</v>
      </c>
      <c r="G1190">
        <v>0.56699999999999995</v>
      </c>
      <c r="H1190">
        <v>234</v>
      </c>
      <c r="I1190">
        <v>0.79300000000000004</v>
      </c>
      <c r="J1190">
        <v>0.24399999999999999</v>
      </c>
      <c r="K1190" t="s">
        <v>2989</v>
      </c>
      <c r="L1190">
        <v>41</v>
      </c>
      <c r="M1190">
        <v>0.55700000000000005</v>
      </c>
      <c r="N1190">
        <v>164.18899999999999</v>
      </c>
      <c r="O1190">
        <v>0</v>
      </c>
      <c r="P1190">
        <v>1</v>
      </c>
      <c r="Q1190">
        <v>16</v>
      </c>
      <c r="R1190" t="s">
        <v>2990</v>
      </c>
      <c r="S1190" t="s">
        <v>2991</v>
      </c>
      <c r="T1190">
        <f>I1190*-0.5+M1190*0.5</f>
        <v>-0.11799999999999999</v>
      </c>
      <c r="U1190">
        <f>I1190*0.7+M1190*-0.25+D1190*-0.25</f>
        <v>0.36785000000000007</v>
      </c>
      <c r="V1190">
        <f>J1190*0.5+I1190*-0.5</f>
        <v>-0.27450000000000002</v>
      </c>
      <c r="W1190">
        <f>M1190*0.5+G1190*0.25+I1190*0.25</f>
        <v>0.61850000000000005</v>
      </c>
    </row>
    <row r="1191" spans="1:23" x14ac:dyDescent="0.2">
      <c r="A1191">
        <v>4.3099999999999999E-2</v>
      </c>
      <c r="B1191">
        <v>5</v>
      </c>
      <c r="C1191">
        <v>4</v>
      </c>
      <c r="D1191">
        <v>0.32400000000000001</v>
      </c>
      <c r="E1191">
        <v>-5.28</v>
      </c>
      <c r="F1191">
        <v>178560</v>
      </c>
      <c r="G1191">
        <v>0.874</v>
      </c>
      <c r="H1191">
        <v>174</v>
      </c>
      <c r="I1191">
        <v>0.93</v>
      </c>
      <c r="J1191">
        <v>4.1200000000000001E-2</v>
      </c>
      <c r="K1191" t="s">
        <v>2672</v>
      </c>
      <c r="L1191">
        <v>48</v>
      </c>
      <c r="M1191">
        <v>0.69199999999999995</v>
      </c>
      <c r="N1191">
        <v>116.017</v>
      </c>
      <c r="O1191" s="1">
        <v>7.2399999999999998E-5</v>
      </c>
      <c r="P1191">
        <v>0</v>
      </c>
      <c r="Q1191">
        <v>6</v>
      </c>
      <c r="R1191" t="s">
        <v>504</v>
      </c>
      <c r="S1191" t="s">
        <v>2673</v>
      </c>
      <c r="T1191">
        <f>I1191*-0.5+M1191*0.5</f>
        <v>-0.11900000000000005</v>
      </c>
      <c r="U1191">
        <f>I1191*0.7+M1191*-0.25+D1191*-0.25</f>
        <v>0.39700000000000002</v>
      </c>
      <c r="V1191">
        <f>J1191*0.5+I1191*-0.5</f>
        <v>-0.44440000000000002</v>
      </c>
      <c r="W1191">
        <f>M1191*0.5+G1191*0.25+I1191*0.25</f>
        <v>0.79700000000000004</v>
      </c>
    </row>
    <row r="1192" spans="1:23" x14ac:dyDescent="0.2">
      <c r="A1192">
        <v>0.26400000000000001</v>
      </c>
      <c r="B1192">
        <v>5</v>
      </c>
      <c r="C1192">
        <v>4</v>
      </c>
      <c r="D1192">
        <v>0.128</v>
      </c>
      <c r="E1192">
        <v>-7.05</v>
      </c>
      <c r="F1192">
        <v>255360</v>
      </c>
      <c r="G1192">
        <v>0.61599999999999999</v>
      </c>
      <c r="H1192">
        <v>231</v>
      </c>
      <c r="I1192">
        <v>0.94899999999999995</v>
      </c>
      <c r="J1192">
        <v>0.123</v>
      </c>
      <c r="K1192" t="s">
        <v>2790</v>
      </c>
      <c r="L1192">
        <v>16</v>
      </c>
      <c r="M1192">
        <v>0.71</v>
      </c>
      <c r="N1192">
        <v>93.938000000000002</v>
      </c>
      <c r="O1192">
        <v>0</v>
      </c>
      <c r="P1192">
        <v>1</v>
      </c>
      <c r="Q1192">
        <v>7</v>
      </c>
      <c r="R1192" t="s">
        <v>2791</v>
      </c>
      <c r="S1192" t="s">
        <v>2792</v>
      </c>
      <c r="T1192">
        <f>I1192*-0.5+M1192*0.5</f>
        <v>-0.1195</v>
      </c>
      <c r="U1192">
        <f>I1192*0.7+M1192*-0.25+D1192*-0.25</f>
        <v>0.45479999999999987</v>
      </c>
      <c r="V1192">
        <f>J1192*0.5+I1192*-0.5</f>
        <v>-0.41299999999999998</v>
      </c>
      <c r="W1192">
        <f>M1192*0.5+G1192*0.25+I1192*0.25</f>
        <v>0.74624999999999997</v>
      </c>
    </row>
    <row r="1193" spans="1:23" x14ac:dyDescent="0.2">
      <c r="A1193">
        <v>0.32500000000000001</v>
      </c>
      <c r="B1193">
        <v>1</v>
      </c>
      <c r="C1193">
        <v>4</v>
      </c>
      <c r="D1193">
        <v>0.61399999999999999</v>
      </c>
      <c r="E1193">
        <v>-6.0069999999999997</v>
      </c>
      <c r="F1193">
        <v>204040</v>
      </c>
      <c r="G1193">
        <v>0.57499999999999996</v>
      </c>
      <c r="H1193">
        <v>204</v>
      </c>
      <c r="I1193">
        <v>0.92700000000000005</v>
      </c>
      <c r="J1193">
        <v>0.29899999999999999</v>
      </c>
      <c r="K1193" t="s">
        <v>2986</v>
      </c>
      <c r="L1193">
        <v>28</v>
      </c>
      <c r="M1193">
        <v>0.68400000000000005</v>
      </c>
      <c r="N1193">
        <v>172.155</v>
      </c>
      <c r="O1193">
        <v>0</v>
      </c>
      <c r="P1193">
        <v>1</v>
      </c>
      <c r="Q1193">
        <v>5</v>
      </c>
      <c r="R1193" t="s">
        <v>2987</v>
      </c>
      <c r="S1193" t="s">
        <v>2988</v>
      </c>
      <c r="T1193">
        <f>I1193*-0.5+M1193*0.5</f>
        <v>-0.1215</v>
      </c>
      <c r="U1193">
        <f>I1193*0.7+M1193*-0.25+D1193*-0.25</f>
        <v>0.32440000000000002</v>
      </c>
      <c r="V1193">
        <f>J1193*0.5+I1193*-0.5</f>
        <v>-0.31400000000000006</v>
      </c>
      <c r="W1193">
        <f>M1193*0.5+G1193*0.25+I1193*0.25</f>
        <v>0.71750000000000003</v>
      </c>
    </row>
    <row r="1194" spans="1:23" x14ac:dyDescent="0.2">
      <c r="A1194">
        <v>4.1399999999999999E-2</v>
      </c>
      <c r="B1194">
        <v>5</v>
      </c>
      <c r="C1194">
        <v>4</v>
      </c>
      <c r="D1194">
        <v>0.33200000000000002</v>
      </c>
      <c r="E1194">
        <v>-6.55</v>
      </c>
      <c r="F1194">
        <v>210267</v>
      </c>
      <c r="G1194">
        <v>0.69599999999999995</v>
      </c>
      <c r="H1194">
        <v>208</v>
      </c>
      <c r="I1194">
        <v>0.79</v>
      </c>
      <c r="J1194">
        <v>3.79E-3</v>
      </c>
      <c r="K1194" t="s">
        <v>2743</v>
      </c>
      <c r="L1194">
        <v>40</v>
      </c>
      <c r="M1194">
        <v>0.54600000000000004</v>
      </c>
      <c r="N1194">
        <v>130.00200000000001</v>
      </c>
      <c r="O1194" s="1">
        <v>3.8E-6</v>
      </c>
      <c r="P1194">
        <v>1</v>
      </c>
      <c r="Q1194">
        <v>2</v>
      </c>
      <c r="R1194" t="s">
        <v>623</v>
      </c>
      <c r="S1194" t="s">
        <v>2744</v>
      </c>
      <c r="T1194">
        <f>I1194*-0.5+M1194*0.5</f>
        <v>-0.122</v>
      </c>
      <c r="U1194">
        <f>I1194*0.7+M1194*-0.25+D1194*-0.25</f>
        <v>0.33349999999999991</v>
      </c>
      <c r="V1194">
        <f>J1194*0.5+I1194*-0.5</f>
        <v>-0.39310500000000004</v>
      </c>
      <c r="W1194">
        <f>M1194*0.5+G1194*0.25+I1194*0.25</f>
        <v>0.64450000000000007</v>
      </c>
    </row>
    <row r="1195" spans="1:23" x14ac:dyDescent="0.2">
      <c r="A1195">
        <v>4.4200000000000003E-2</v>
      </c>
      <c r="B1195">
        <v>1</v>
      </c>
      <c r="C1195">
        <v>4</v>
      </c>
      <c r="D1195">
        <v>7.4200000000000002E-2</v>
      </c>
      <c r="E1195">
        <v>-5.351</v>
      </c>
      <c r="F1195">
        <v>294867</v>
      </c>
      <c r="G1195">
        <v>0.84099999999999997</v>
      </c>
      <c r="H1195">
        <v>274</v>
      </c>
      <c r="I1195">
        <v>0.873</v>
      </c>
      <c r="J1195">
        <v>7.2900000000000006E-2</v>
      </c>
      <c r="K1195" t="s">
        <v>2785</v>
      </c>
      <c r="L1195">
        <v>14</v>
      </c>
      <c r="M1195">
        <v>0.629</v>
      </c>
      <c r="N1195">
        <v>97.962999999999994</v>
      </c>
      <c r="O1195">
        <v>0</v>
      </c>
      <c r="P1195">
        <v>1</v>
      </c>
      <c r="Q1195">
        <v>9</v>
      </c>
      <c r="R1195" t="s">
        <v>998</v>
      </c>
      <c r="S1195" t="s">
        <v>2786</v>
      </c>
      <c r="T1195">
        <f>I1195*-0.5+M1195*0.5</f>
        <v>-0.122</v>
      </c>
      <c r="U1195">
        <f>I1195*0.7+M1195*-0.25+D1195*-0.25</f>
        <v>0.43529999999999996</v>
      </c>
      <c r="V1195">
        <f>J1195*0.5+I1195*-0.5</f>
        <v>-0.40005000000000002</v>
      </c>
      <c r="W1195">
        <f>M1195*0.5+G1195*0.25+I1195*0.25</f>
        <v>0.7430000000000001</v>
      </c>
    </row>
    <row r="1196" spans="1:23" x14ac:dyDescent="0.2">
      <c r="A1196">
        <v>7.5899999999999995E-2</v>
      </c>
      <c r="B1196">
        <v>11</v>
      </c>
      <c r="C1196">
        <v>4</v>
      </c>
      <c r="D1196">
        <v>9.8799999999999999E-2</v>
      </c>
      <c r="E1196">
        <v>-5.48</v>
      </c>
      <c r="F1196">
        <v>215907</v>
      </c>
      <c r="G1196">
        <v>0.92800000000000005</v>
      </c>
      <c r="H1196">
        <v>213</v>
      </c>
      <c r="I1196">
        <v>0.88700000000000001</v>
      </c>
      <c r="J1196">
        <v>5.2699999999999997E-2</v>
      </c>
      <c r="K1196" t="s">
        <v>2741</v>
      </c>
      <c r="L1196">
        <v>18</v>
      </c>
      <c r="M1196">
        <v>0.64300000000000002</v>
      </c>
      <c r="N1196">
        <v>93.006</v>
      </c>
      <c r="O1196">
        <v>0</v>
      </c>
      <c r="P1196">
        <v>0</v>
      </c>
      <c r="Q1196">
        <v>7</v>
      </c>
      <c r="R1196" t="s">
        <v>2605</v>
      </c>
      <c r="S1196" t="s">
        <v>2742</v>
      </c>
      <c r="T1196">
        <f>I1196*-0.5+M1196*0.5</f>
        <v>-0.122</v>
      </c>
      <c r="U1196">
        <f>I1196*0.7+M1196*-0.25+D1196*-0.25</f>
        <v>0.43545</v>
      </c>
      <c r="V1196">
        <f>J1196*0.5+I1196*-0.5</f>
        <v>-0.41715000000000002</v>
      </c>
      <c r="W1196">
        <f>M1196*0.5+G1196*0.25+I1196*0.25</f>
        <v>0.77524999999999999</v>
      </c>
    </row>
    <row r="1197" spans="1:23" x14ac:dyDescent="0.2">
      <c r="A1197">
        <v>4.4600000000000001E-2</v>
      </c>
      <c r="B1197">
        <v>2</v>
      </c>
      <c r="C1197">
        <v>4</v>
      </c>
      <c r="D1197">
        <v>7.6499999999999999E-2</v>
      </c>
      <c r="E1197">
        <v>-7.23</v>
      </c>
      <c r="F1197">
        <v>176920</v>
      </c>
      <c r="G1197">
        <v>0.66400000000000003</v>
      </c>
      <c r="H1197">
        <v>174</v>
      </c>
      <c r="I1197">
        <v>0.96</v>
      </c>
      <c r="J1197">
        <v>2.1899999999999999E-2</v>
      </c>
      <c r="K1197" t="s">
        <v>2615</v>
      </c>
      <c r="L1197">
        <v>18</v>
      </c>
      <c r="M1197">
        <v>0.71499999999999997</v>
      </c>
      <c r="N1197">
        <v>139.04499999999999</v>
      </c>
      <c r="O1197">
        <v>0</v>
      </c>
      <c r="P1197">
        <v>1</v>
      </c>
      <c r="Q1197">
        <v>18</v>
      </c>
      <c r="R1197" t="s">
        <v>2616</v>
      </c>
      <c r="S1197" t="s">
        <v>2617</v>
      </c>
      <c r="T1197">
        <f>I1197*-0.5+M1197*0.5</f>
        <v>-0.1225</v>
      </c>
      <c r="U1197">
        <f>I1197*0.7+M1197*-0.25+D1197*-0.25</f>
        <v>0.47412499999999996</v>
      </c>
      <c r="V1197">
        <f>J1197*0.5+I1197*-0.5</f>
        <v>-0.46904999999999997</v>
      </c>
      <c r="W1197">
        <f>M1197*0.5+G1197*0.25+I1197*0.25</f>
        <v>0.76349999999999996</v>
      </c>
    </row>
    <row r="1198" spans="1:23" x14ac:dyDescent="0.2">
      <c r="A1198">
        <v>5.6800000000000003E-2</v>
      </c>
      <c r="B1198">
        <v>1</v>
      </c>
      <c r="C1198">
        <v>4</v>
      </c>
      <c r="D1198">
        <v>5.9299999999999999E-2</v>
      </c>
      <c r="E1198">
        <v>-13.002000000000001</v>
      </c>
      <c r="F1198">
        <v>214871</v>
      </c>
      <c r="G1198">
        <v>0.63600000000000001</v>
      </c>
      <c r="H1198">
        <v>209</v>
      </c>
      <c r="I1198">
        <v>0.70799999999999996</v>
      </c>
      <c r="J1198">
        <v>0.125</v>
      </c>
      <c r="K1198" t="s">
        <v>2959</v>
      </c>
      <c r="L1198">
        <v>54</v>
      </c>
      <c r="M1198">
        <v>0.45700000000000002</v>
      </c>
      <c r="N1198">
        <v>150.96</v>
      </c>
      <c r="O1198">
        <v>0</v>
      </c>
      <c r="P1198">
        <v>1</v>
      </c>
      <c r="Q1198">
        <v>17</v>
      </c>
      <c r="R1198" t="s">
        <v>2960</v>
      </c>
      <c r="S1198" t="s">
        <v>2961</v>
      </c>
      <c r="T1198">
        <f>I1198*-0.5+M1198*0.5</f>
        <v>-0.12549999999999997</v>
      </c>
      <c r="U1198">
        <f>I1198*0.7+M1198*-0.25+D1198*-0.25</f>
        <v>0.36652499999999993</v>
      </c>
      <c r="V1198">
        <f>J1198*0.5+I1198*-0.5</f>
        <v>-0.29149999999999998</v>
      </c>
      <c r="W1198">
        <f>M1198*0.5+G1198*0.25+I1198*0.25</f>
        <v>0.5645</v>
      </c>
    </row>
    <row r="1199" spans="1:23" x14ac:dyDescent="0.2">
      <c r="A1199">
        <v>6.59E-2</v>
      </c>
      <c r="B1199">
        <v>1</v>
      </c>
      <c r="C1199">
        <v>4</v>
      </c>
      <c r="D1199">
        <v>0.63500000000000001</v>
      </c>
      <c r="E1199">
        <v>-7.008</v>
      </c>
      <c r="F1199">
        <v>219840</v>
      </c>
      <c r="G1199">
        <v>0.80600000000000005</v>
      </c>
      <c r="H1199">
        <v>216</v>
      </c>
      <c r="I1199">
        <v>0.85899999999999999</v>
      </c>
      <c r="J1199">
        <v>1.1299999999999999E-2</v>
      </c>
      <c r="K1199" t="s">
        <v>2716</v>
      </c>
      <c r="L1199">
        <v>53</v>
      </c>
      <c r="M1199">
        <v>0.60799999999999998</v>
      </c>
      <c r="N1199">
        <v>95.049000000000007</v>
      </c>
      <c r="O1199">
        <v>0</v>
      </c>
      <c r="P1199">
        <v>1</v>
      </c>
      <c r="Q1199">
        <v>4</v>
      </c>
      <c r="R1199" t="s">
        <v>2717</v>
      </c>
      <c r="S1199" t="s">
        <v>2573</v>
      </c>
      <c r="T1199">
        <f>I1199*-0.5+M1199*0.5</f>
        <v>-0.1255</v>
      </c>
      <c r="U1199">
        <f>I1199*0.7+M1199*-0.25+D1199*-0.25</f>
        <v>0.29054999999999992</v>
      </c>
      <c r="V1199">
        <f>J1199*0.5+I1199*-0.5</f>
        <v>-0.42385</v>
      </c>
      <c r="W1199">
        <f>M1199*0.5+G1199*0.25+I1199*0.25</f>
        <v>0.72025000000000006</v>
      </c>
    </row>
    <row r="1200" spans="1:23" x14ac:dyDescent="0.2">
      <c r="A1200">
        <v>2.92E-2</v>
      </c>
      <c r="B1200">
        <v>5</v>
      </c>
      <c r="C1200">
        <v>4</v>
      </c>
      <c r="D1200">
        <v>9.5600000000000004E-2</v>
      </c>
      <c r="E1200">
        <v>-5.8490000000000002</v>
      </c>
      <c r="F1200">
        <v>239600</v>
      </c>
      <c r="G1200">
        <v>0.73299999999999998</v>
      </c>
      <c r="H1200">
        <v>235</v>
      </c>
      <c r="I1200">
        <v>0.96299999999999997</v>
      </c>
      <c r="J1200">
        <v>0.14499999999999999</v>
      </c>
      <c r="K1200" t="s">
        <v>2851</v>
      </c>
      <c r="L1200">
        <v>40</v>
      </c>
      <c r="M1200">
        <v>0.71</v>
      </c>
      <c r="N1200">
        <v>127.97499999999999</v>
      </c>
      <c r="O1200">
        <v>0.115</v>
      </c>
      <c r="P1200">
        <v>0</v>
      </c>
      <c r="Q1200">
        <v>7</v>
      </c>
      <c r="R1200" t="s">
        <v>2852</v>
      </c>
      <c r="S1200" t="s">
        <v>2853</v>
      </c>
      <c r="T1200">
        <f>I1200*-0.5+M1200*0.5</f>
        <v>-0.1265</v>
      </c>
      <c r="U1200">
        <f>I1200*0.7+M1200*-0.25+D1200*-0.25</f>
        <v>0.47269999999999995</v>
      </c>
      <c r="V1200">
        <f>J1200*0.5+I1200*-0.5</f>
        <v>-0.40899999999999997</v>
      </c>
      <c r="W1200">
        <f>M1200*0.5+G1200*0.25+I1200*0.25</f>
        <v>0.77900000000000003</v>
      </c>
    </row>
    <row r="1201" spans="1:23" x14ac:dyDescent="0.2">
      <c r="A1201">
        <v>4.6800000000000001E-2</v>
      </c>
      <c r="B1201">
        <v>11</v>
      </c>
      <c r="C1201">
        <v>4</v>
      </c>
      <c r="D1201">
        <v>0.105</v>
      </c>
      <c r="E1201">
        <v>-8.3219999999999992</v>
      </c>
      <c r="F1201">
        <v>242187</v>
      </c>
      <c r="G1201">
        <v>0.68600000000000005</v>
      </c>
      <c r="H1201">
        <v>211</v>
      </c>
      <c r="I1201">
        <v>0.71099999999999997</v>
      </c>
      <c r="J1201">
        <v>0.59499999999999997</v>
      </c>
      <c r="K1201" t="s">
        <v>3110</v>
      </c>
      <c r="L1201">
        <v>30</v>
      </c>
      <c r="M1201">
        <v>0.45700000000000002</v>
      </c>
      <c r="N1201">
        <v>150.953</v>
      </c>
      <c r="O1201">
        <v>0</v>
      </c>
      <c r="P1201">
        <v>1</v>
      </c>
      <c r="Q1201">
        <v>18</v>
      </c>
      <c r="R1201" t="s">
        <v>3111</v>
      </c>
      <c r="S1201" t="s">
        <v>3112</v>
      </c>
      <c r="T1201">
        <f>I1201*-0.5+M1201*0.5</f>
        <v>-0.12699999999999997</v>
      </c>
      <c r="U1201">
        <f>I1201*0.7+M1201*-0.25+D1201*-0.25</f>
        <v>0.35719999999999991</v>
      </c>
      <c r="V1201">
        <f>J1201*0.5+I1201*-0.5</f>
        <v>-5.7999999999999996E-2</v>
      </c>
      <c r="W1201">
        <f>M1201*0.5+G1201*0.25+I1201*0.25</f>
        <v>0.57774999999999999</v>
      </c>
    </row>
    <row r="1202" spans="1:23" x14ac:dyDescent="0.2">
      <c r="A1202">
        <v>0.38200000000000001</v>
      </c>
      <c r="B1202">
        <v>1</v>
      </c>
      <c r="C1202">
        <v>4</v>
      </c>
      <c r="D1202">
        <v>0.127</v>
      </c>
      <c r="E1202">
        <v>-11.231999999999999</v>
      </c>
      <c r="F1202">
        <v>233440</v>
      </c>
      <c r="G1202">
        <v>0.44600000000000001</v>
      </c>
      <c r="H1202">
        <v>223</v>
      </c>
      <c r="I1202">
        <v>0.65600000000000003</v>
      </c>
      <c r="J1202">
        <v>0.65700000000000003</v>
      </c>
      <c r="K1202" t="s">
        <v>3130</v>
      </c>
      <c r="L1202">
        <v>20</v>
      </c>
      <c r="M1202">
        <v>0.40100000000000002</v>
      </c>
      <c r="N1202">
        <v>82.941999999999993</v>
      </c>
      <c r="O1202">
        <v>0</v>
      </c>
      <c r="P1202">
        <v>1</v>
      </c>
      <c r="Q1202">
        <v>9</v>
      </c>
      <c r="R1202" t="s">
        <v>3131</v>
      </c>
      <c r="S1202" t="s">
        <v>3132</v>
      </c>
      <c r="T1202">
        <f>I1202*-0.5+M1202*0.5</f>
        <v>-0.1275</v>
      </c>
      <c r="U1202">
        <f>I1202*0.7+M1202*-0.25+D1202*-0.25</f>
        <v>0.32719999999999999</v>
      </c>
      <c r="V1202">
        <f>J1202*0.5+I1202*-0.5</f>
        <v>5.0000000000000044E-4</v>
      </c>
      <c r="W1202">
        <f>M1202*0.5+G1202*0.25+I1202*0.25</f>
        <v>0.47599999999999998</v>
      </c>
    </row>
    <row r="1203" spans="1:23" x14ac:dyDescent="0.2">
      <c r="A1203">
        <v>2.87E-2</v>
      </c>
      <c r="B1203">
        <v>9</v>
      </c>
      <c r="C1203">
        <v>4</v>
      </c>
      <c r="D1203">
        <v>7.6999999999999999E-2</v>
      </c>
      <c r="E1203">
        <v>-8.7690000000000001</v>
      </c>
      <c r="F1203">
        <v>251253</v>
      </c>
      <c r="G1203">
        <v>0.55600000000000005</v>
      </c>
      <c r="H1203">
        <v>250</v>
      </c>
      <c r="I1203">
        <v>0.77900000000000003</v>
      </c>
      <c r="J1203">
        <v>0.307</v>
      </c>
      <c r="K1203" t="s">
        <v>3055</v>
      </c>
      <c r="L1203">
        <v>4</v>
      </c>
      <c r="M1203">
        <v>0.51700000000000002</v>
      </c>
      <c r="N1203">
        <v>169.93799999999999</v>
      </c>
      <c r="O1203">
        <v>1.15E-3</v>
      </c>
      <c r="P1203">
        <v>1</v>
      </c>
      <c r="Q1203">
        <v>8</v>
      </c>
      <c r="R1203" t="s">
        <v>3056</v>
      </c>
      <c r="S1203" t="s">
        <v>3057</v>
      </c>
      <c r="T1203">
        <f>I1203*-0.5+M1203*0.5</f>
        <v>-0.13100000000000001</v>
      </c>
      <c r="U1203">
        <f>I1203*0.7+M1203*-0.25+D1203*-0.25</f>
        <v>0.39680000000000004</v>
      </c>
      <c r="V1203">
        <f>J1203*0.5+I1203*-0.5</f>
        <v>-0.23600000000000002</v>
      </c>
      <c r="W1203">
        <f>M1203*0.5+G1203*0.25+I1203*0.25</f>
        <v>0.59225000000000005</v>
      </c>
    </row>
    <row r="1204" spans="1:23" x14ac:dyDescent="0.2">
      <c r="A1204">
        <v>0.36299999999999999</v>
      </c>
      <c r="B1204">
        <v>6</v>
      </c>
      <c r="C1204">
        <v>4</v>
      </c>
      <c r="D1204">
        <v>0.39100000000000001</v>
      </c>
      <c r="E1204">
        <v>-13.365</v>
      </c>
      <c r="F1204">
        <v>309133</v>
      </c>
      <c r="G1204">
        <v>0.82699999999999996</v>
      </c>
      <c r="H1204">
        <v>305</v>
      </c>
      <c r="I1204">
        <v>0.8</v>
      </c>
      <c r="J1204">
        <v>0.63900000000000001</v>
      </c>
      <c r="K1204" t="s">
        <v>3118</v>
      </c>
      <c r="L1204">
        <v>2</v>
      </c>
      <c r="M1204">
        <v>0.52600000000000002</v>
      </c>
      <c r="N1204">
        <v>91.552000000000007</v>
      </c>
      <c r="O1204" s="1">
        <v>8.1999999999999994E-6</v>
      </c>
      <c r="P1204">
        <v>0</v>
      </c>
      <c r="Q1204">
        <v>18</v>
      </c>
      <c r="R1204" t="s">
        <v>3119</v>
      </c>
      <c r="S1204" t="s">
        <v>3120</v>
      </c>
      <c r="T1204">
        <f>I1204*-0.5+M1204*0.5</f>
        <v>-0.13700000000000001</v>
      </c>
      <c r="U1204">
        <f>I1204*0.7+M1204*-0.25+D1204*-0.25</f>
        <v>0.33074999999999993</v>
      </c>
      <c r="V1204">
        <f>J1204*0.5+I1204*-0.5</f>
        <v>-8.0500000000000016E-2</v>
      </c>
      <c r="W1204">
        <f>M1204*0.5+G1204*0.25+I1204*0.25</f>
        <v>0.66975000000000007</v>
      </c>
    </row>
    <row r="1205" spans="1:23" x14ac:dyDescent="0.2">
      <c r="A1205">
        <v>3.4599999999999999E-2</v>
      </c>
      <c r="B1205">
        <v>0</v>
      </c>
      <c r="C1205">
        <v>4</v>
      </c>
      <c r="D1205">
        <v>9.6699999999999994E-2</v>
      </c>
      <c r="E1205">
        <v>-5.7279999999999998</v>
      </c>
      <c r="F1205">
        <v>266840</v>
      </c>
      <c r="G1205">
        <v>0.80800000000000005</v>
      </c>
      <c r="H1205">
        <v>225</v>
      </c>
      <c r="I1205">
        <v>0.82499999999999996</v>
      </c>
      <c r="J1205">
        <v>0.52900000000000003</v>
      </c>
      <c r="K1205" t="s">
        <v>3102</v>
      </c>
      <c r="L1205">
        <v>25</v>
      </c>
      <c r="M1205">
        <v>0.54500000000000004</v>
      </c>
      <c r="N1205">
        <v>109.96</v>
      </c>
      <c r="O1205">
        <v>0</v>
      </c>
      <c r="P1205">
        <v>0</v>
      </c>
      <c r="Q1205">
        <v>8</v>
      </c>
      <c r="R1205" t="s">
        <v>1148</v>
      </c>
      <c r="S1205" t="s">
        <v>1586</v>
      </c>
      <c r="T1205">
        <f>I1205*-0.5+M1205*0.5</f>
        <v>-0.13999999999999996</v>
      </c>
      <c r="U1205">
        <f>I1205*0.7+M1205*-0.25+D1205*-0.25</f>
        <v>0.41707499999999992</v>
      </c>
      <c r="V1205">
        <f>J1205*0.5+I1205*-0.5</f>
        <v>-0.14799999999999996</v>
      </c>
      <c r="W1205">
        <f>M1205*0.5+G1205*0.25+I1205*0.25</f>
        <v>0.68074999999999997</v>
      </c>
    </row>
    <row r="1206" spans="1:23" x14ac:dyDescent="0.2">
      <c r="A1206">
        <v>2.98E-2</v>
      </c>
      <c r="B1206">
        <v>7</v>
      </c>
      <c r="C1206">
        <v>4</v>
      </c>
      <c r="D1206">
        <v>0.152</v>
      </c>
      <c r="E1206">
        <v>-12.138</v>
      </c>
      <c r="F1206">
        <v>263973</v>
      </c>
      <c r="G1206">
        <v>0.47399999999999998</v>
      </c>
      <c r="H1206">
        <v>255</v>
      </c>
      <c r="I1206">
        <v>0.628</v>
      </c>
      <c r="J1206">
        <v>2.2499999999999999E-2</v>
      </c>
      <c r="K1206" t="s">
        <v>2946</v>
      </c>
      <c r="L1206">
        <v>36</v>
      </c>
      <c r="M1206">
        <v>0.34300000000000003</v>
      </c>
      <c r="N1206">
        <v>114.877</v>
      </c>
      <c r="O1206">
        <v>7.0400000000000003E-3</v>
      </c>
      <c r="P1206">
        <v>1</v>
      </c>
      <c r="Q1206">
        <v>20</v>
      </c>
      <c r="R1206" t="s">
        <v>2947</v>
      </c>
      <c r="S1206" t="s">
        <v>2948</v>
      </c>
      <c r="T1206">
        <f>I1206*-0.5+M1206*0.5</f>
        <v>-0.14249999999999999</v>
      </c>
      <c r="U1206">
        <f>I1206*0.7+M1206*-0.25+D1206*-0.25</f>
        <v>0.31585000000000002</v>
      </c>
      <c r="V1206">
        <f>J1206*0.5+I1206*-0.5</f>
        <v>-0.30275000000000002</v>
      </c>
      <c r="W1206">
        <f>M1206*0.5+G1206*0.25+I1206*0.25</f>
        <v>0.44700000000000006</v>
      </c>
    </row>
    <row r="1207" spans="1:23" x14ac:dyDescent="0.2">
      <c r="A1207">
        <v>0.112</v>
      </c>
      <c r="B1207">
        <v>0</v>
      </c>
      <c r="C1207">
        <v>4</v>
      </c>
      <c r="D1207">
        <v>3.5000000000000003E-2</v>
      </c>
      <c r="E1207">
        <v>-8.8659999999999997</v>
      </c>
      <c r="F1207">
        <v>126880</v>
      </c>
      <c r="G1207">
        <v>0.88600000000000001</v>
      </c>
      <c r="H1207">
        <v>125</v>
      </c>
      <c r="I1207">
        <v>0.73499999999999999</v>
      </c>
      <c r="J1207">
        <v>5.8200000000000002E-2</v>
      </c>
      <c r="K1207" t="s">
        <v>2926</v>
      </c>
      <c r="L1207">
        <v>47</v>
      </c>
      <c r="M1207">
        <v>0.44800000000000001</v>
      </c>
      <c r="N1207">
        <v>129.96600000000001</v>
      </c>
      <c r="O1207">
        <v>6.5799999999999999E-3</v>
      </c>
      <c r="P1207">
        <v>1</v>
      </c>
      <c r="Q1207">
        <v>12</v>
      </c>
      <c r="R1207" t="s">
        <v>2927</v>
      </c>
      <c r="S1207" t="s">
        <v>2928</v>
      </c>
      <c r="T1207">
        <f>I1207*-0.5+M1207*0.5</f>
        <v>-0.14349999999999999</v>
      </c>
      <c r="U1207">
        <f>I1207*0.7+M1207*-0.25+D1207*-0.25</f>
        <v>0.39374999999999999</v>
      </c>
      <c r="V1207">
        <f>J1207*0.5+I1207*-0.5</f>
        <v>-0.33839999999999998</v>
      </c>
      <c r="W1207">
        <f>M1207*0.5+G1207*0.25+I1207*0.25</f>
        <v>0.62924999999999998</v>
      </c>
    </row>
    <row r="1208" spans="1:23" x14ac:dyDescent="0.2">
      <c r="A1208">
        <v>0.107</v>
      </c>
      <c r="B1208">
        <v>5</v>
      </c>
      <c r="C1208">
        <v>4</v>
      </c>
      <c r="D1208">
        <v>6.2600000000000003E-2</v>
      </c>
      <c r="E1208">
        <v>-3.1890000000000001</v>
      </c>
      <c r="F1208">
        <v>207133</v>
      </c>
      <c r="G1208">
        <v>0.84199999999999997</v>
      </c>
      <c r="H1208">
        <v>201</v>
      </c>
      <c r="I1208">
        <v>0.95099999999999996</v>
      </c>
      <c r="J1208">
        <v>0.16</v>
      </c>
      <c r="K1208" t="s">
        <v>2929</v>
      </c>
      <c r="L1208">
        <v>11</v>
      </c>
      <c r="M1208">
        <v>0.65600000000000003</v>
      </c>
      <c r="N1208">
        <v>102.794</v>
      </c>
      <c r="O1208">
        <v>0</v>
      </c>
      <c r="P1208">
        <v>0</v>
      </c>
      <c r="Q1208">
        <v>4</v>
      </c>
      <c r="R1208" t="s">
        <v>2930</v>
      </c>
      <c r="S1208" t="s">
        <v>2931</v>
      </c>
      <c r="T1208">
        <f>I1208*-0.5+M1208*0.5</f>
        <v>-0.14749999999999996</v>
      </c>
      <c r="U1208">
        <f>I1208*0.7+M1208*-0.25+D1208*-0.25</f>
        <v>0.48604999999999993</v>
      </c>
      <c r="V1208">
        <f>J1208*0.5+I1208*-0.5</f>
        <v>-0.39549999999999996</v>
      </c>
      <c r="W1208">
        <f>M1208*0.5+G1208*0.25+I1208*0.25</f>
        <v>0.77625</v>
      </c>
    </row>
    <row r="1209" spans="1:23" x14ac:dyDescent="0.2">
      <c r="A1209">
        <v>0.315</v>
      </c>
      <c r="B1209">
        <v>10</v>
      </c>
      <c r="C1209">
        <v>4</v>
      </c>
      <c r="D1209">
        <v>0.14899999999999999</v>
      </c>
      <c r="E1209">
        <v>-7.0350000000000001</v>
      </c>
      <c r="F1209">
        <v>224667</v>
      </c>
      <c r="G1209">
        <v>0.92900000000000005</v>
      </c>
      <c r="H1209">
        <v>224</v>
      </c>
      <c r="I1209">
        <v>0.89700000000000002</v>
      </c>
      <c r="J1209">
        <v>0.10199999999999999</v>
      </c>
      <c r="K1209" t="s">
        <v>2901</v>
      </c>
      <c r="L1209">
        <v>14</v>
      </c>
      <c r="M1209">
        <v>0.59499999999999997</v>
      </c>
      <c r="N1209">
        <v>94.997</v>
      </c>
      <c r="O1209">
        <v>0</v>
      </c>
      <c r="P1209">
        <v>0</v>
      </c>
      <c r="Q1209">
        <v>6</v>
      </c>
      <c r="R1209" t="s">
        <v>2902</v>
      </c>
      <c r="S1209" t="s">
        <v>2903</v>
      </c>
      <c r="T1209">
        <f>I1209*-0.5+M1209*0.5</f>
        <v>-0.15100000000000002</v>
      </c>
      <c r="U1209">
        <f>I1209*0.7+M1209*-0.25+D1209*-0.25</f>
        <v>0.44190000000000002</v>
      </c>
      <c r="V1209">
        <f>J1209*0.5+I1209*-0.5</f>
        <v>-0.39750000000000002</v>
      </c>
      <c r="W1209">
        <f>M1209*0.5+G1209*0.25+I1209*0.25</f>
        <v>0.754</v>
      </c>
    </row>
    <row r="1210" spans="1:23" x14ac:dyDescent="0.2">
      <c r="A1210">
        <v>0.26600000000000001</v>
      </c>
      <c r="B1210">
        <v>4</v>
      </c>
      <c r="C1210">
        <v>4</v>
      </c>
      <c r="D1210">
        <v>0.36099999999999999</v>
      </c>
      <c r="E1210">
        <v>-7.3049999999999997</v>
      </c>
      <c r="F1210">
        <v>271160</v>
      </c>
      <c r="G1210">
        <v>0.86199999999999999</v>
      </c>
      <c r="H1210">
        <v>270</v>
      </c>
      <c r="I1210">
        <v>0.82</v>
      </c>
      <c r="J1210">
        <v>4.0599999999999997E-2</v>
      </c>
      <c r="K1210" t="s">
        <v>2884</v>
      </c>
      <c r="L1210">
        <v>21</v>
      </c>
      <c r="M1210">
        <v>0.51500000000000001</v>
      </c>
      <c r="N1210">
        <v>82.99</v>
      </c>
      <c r="O1210">
        <v>0</v>
      </c>
      <c r="P1210">
        <v>0</v>
      </c>
      <c r="Q1210">
        <v>3</v>
      </c>
      <c r="R1210" t="s">
        <v>2885</v>
      </c>
      <c r="S1210" t="s">
        <v>2886</v>
      </c>
      <c r="T1210">
        <f>I1210*-0.5+M1210*0.5</f>
        <v>-0.15249999999999997</v>
      </c>
      <c r="U1210">
        <f>I1210*0.7+M1210*-0.25+D1210*-0.25</f>
        <v>0.35499999999999993</v>
      </c>
      <c r="V1210">
        <f>J1210*0.5+I1210*-0.5</f>
        <v>-0.38969999999999999</v>
      </c>
      <c r="W1210">
        <f>M1210*0.5+G1210*0.25+I1210*0.25</f>
        <v>0.67799999999999994</v>
      </c>
    </row>
    <row r="1211" spans="1:23" x14ac:dyDescent="0.2">
      <c r="A1211">
        <v>0.113</v>
      </c>
      <c r="B1211">
        <v>7</v>
      </c>
      <c r="C1211">
        <v>4</v>
      </c>
      <c r="D1211">
        <v>0.217</v>
      </c>
      <c r="E1211">
        <v>-11.396000000000001</v>
      </c>
      <c r="F1211">
        <v>245360</v>
      </c>
      <c r="G1211">
        <v>0.91400000000000003</v>
      </c>
      <c r="H1211">
        <v>245</v>
      </c>
      <c r="I1211">
        <v>0.872</v>
      </c>
      <c r="J1211">
        <v>0.24099999999999999</v>
      </c>
      <c r="K1211" t="s">
        <v>3016</v>
      </c>
      <c r="L1211">
        <v>4</v>
      </c>
      <c r="M1211">
        <v>0.56000000000000005</v>
      </c>
      <c r="N1211">
        <v>101.017</v>
      </c>
      <c r="O1211">
        <v>2.1299999999999999E-2</v>
      </c>
      <c r="P1211">
        <v>1</v>
      </c>
      <c r="Q1211">
        <v>13</v>
      </c>
      <c r="R1211" t="s">
        <v>3017</v>
      </c>
      <c r="S1211" t="s">
        <v>3018</v>
      </c>
      <c r="T1211">
        <f>I1211*-0.5+M1211*0.5</f>
        <v>-0.15599999999999997</v>
      </c>
      <c r="U1211">
        <f>I1211*0.7+M1211*-0.25+D1211*-0.25</f>
        <v>0.41614999999999991</v>
      </c>
      <c r="V1211">
        <f>J1211*0.5+I1211*-0.5</f>
        <v>-0.3155</v>
      </c>
      <c r="W1211">
        <f>M1211*0.5+G1211*0.25+I1211*0.25</f>
        <v>0.72650000000000003</v>
      </c>
    </row>
    <row r="1212" spans="1:23" x14ac:dyDescent="0.2">
      <c r="A1212">
        <v>0.182</v>
      </c>
      <c r="B1212">
        <v>10</v>
      </c>
      <c r="C1212">
        <v>4</v>
      </c>
      <c r="D1212">
        <v>4.1099999999999998E-2</v>
      </c>
      <c r="E1212">
        <v>-5.5780000000000003</v>
      </c>
      <c r="F1212">
        <v>241400</v>
      </c>
      <c r="G1212">
        <v>0.92</v>
      </c>
      <c r="H1212">
        <v>265</v>
      </c>
      <c r="I1212">
        <v>0.80600000000000005</v>
      </c>
      <c r="J1212">
        <v>1.03E-2</v>
      </c>
      <c r="K1212" t="s">
        <v>2881</v>
      </c>
      <c r="L1212">
        <v>7</v>
      </c>
      <c r="M1212">
        <v>0.48699999999999999</v>
      </c>
      <c r="N1212">
        <v>92.835999999999999</v>
      </c>
      <c r="O1212">
        <v>0</v>
      </c>
      <c r="P1212">
        <v>0</v>
      </c>
      <c r="Q1212">
        <v>10</v>
      </c>
      <c r="R1212" t="s">
        <v>2882</v>
      </c>
      <c r="S1212" t="s">
        <v>2883</v>
      </c>
      <c r="T1212">
        <f>I1212*-0.5+M1212*0.5</f>
        <v>-0.15950000000000003</v>
      </c>
      <c r="U1212">
        <f>I1212*0.7+M1212*-0.25+D1212*-0.25</f>
        <v>0.43217500000000003</v>
      </c>
      <c r="V1212">
        <f>J1212*0.5+I1212*-0.5</f>
        <v>-0.39785000000000004</v>
      </c>
      <c r="W1212">
        <f>M1212*0.5+G1212*0.25+I1212*0.25</f>
        <v>0.67500000000000004</v>
      </c>
    </row>
    <row r="1213" spans="1:23" x14ac:dyDescent="0.2">
      <c r="A1213">
        <v>0.31</v>
      </c>
      <c r="B1213">
        <v>1</v>
      </c>
      <c r="C1213">
        <v>4</v>
      </c>
      <c r="D1213">
        <v>7.2400000000000006E-2</v>
      </c>
      <c r="E1213">
        <v>-5.5750000000000002</v>
      </c>
      <c r="F1213">
        <v>221240</v>
      </c>
      <c r="G1213">
        <v>0.58499999999999996</v>
      </c>
      <c r="H1213">
        <v>220</v>
      </c>
      <c r="I1213">
        <v>0.94699999999999995</v>
      </c>
      <c r="J1213">
        <v>0.26600000000000001</v>
      </c>
      <c r="K1213" t="s">
        <v>3019</v>
      </c>
      <c r="L1213">
        <v>14</v>
      </c>
      <c r="M1213">
        <v>0.625</v>
      </c>
      <c r="N1213">
        <v>87.055000000000007</v>
      </c>
      <c r="O1213" s="1">
        <v>4.8199999999999999E-5</v>
      </c>
      <c r="P1213">
        <v>1</v>
      </c>
      <c r="Q1213">
        <v>7</v>
      </c>
      <c r="R1213" t="s">
        <v>2797</v>
      </c>
      <c r="S1213" t="s">
        <v>3020</v>
      </c>
      <c r="T1213">
        <f>I1213*-0.5+M1213*0.5</f>
        <v>-0.16099999999999998</v>
      </c>
      <c r="U1213">
        <f>I1213*0.7+M1213*-0.25+D1213*-0.25</f>
        <v>0.48854999999999993</v>
      </c>
      <c r="V1213">
        <f>J1213*0.5+I1213*-0.5</f>
        <v>-0.34049999999999997</v>
      </c>
      <c r="W1213">
        <f>M1213*0.5+G1213*0.25+I1213*0.25</f>
        <v>0.69550000000000001</v>
      </c>
    </row>
    <row r="1214" spans="1:23" x14ac:dyDescent="0.2">
      <c r="A1214">
        <v>8.2400000000000001E-2</v>
      </c>
      <c r="B1214">
        <v>0</v>
      </c>
      <c r="C1214">
        <v>4</v>
      </c>
      <c r="D1214">
        <v>3.44E-2</v>
      </c>
      <c r="E1214">
        <v>-7.2229999999999999</v>
      </c>
      <c r="F1214">
        <v>269667</v>
      </c>
      <c r="G1214">
        <v>0.85599999999999998</v>
      </c>
      <c r="H1214">
        <v>267</v>
      </c>
      <c r="I1214">
        <v>0.93200000000000005</v>
      </c>
      <c r="J1214">
        <v>8.0099999999999998E-3</v>
      </c>
      <c r="K1214" t="s">
        <v>2825</v>
      </c>
      <c r="L1214">
        <v>53</v>
      </c>
      <c r="M1214">
        <v>0.60899999999999999</v>
      </c>
      <c r="N1214">
        <v>114.988</v>
      </c>
      <c r="O1214" s="1">
        <v>8.1500000000000002E-5</v>
      </c>
      <c r="P1214">
        <v>1</v>
      </c>
      <c r="Q1214">
        <v>1</v>
      </c>
      <c r="R1214" t="s">
        <v>2826</v>
      </c>
      <c r="S1214" t="s">
        <v>2827</v>
      </c>
      <c r="T1214">
        <f>I1214*-0.5+M1214*0.5</f>
        <v>-0.16150000000000003</v>
      </c>
      <c r="U1214">
        <f>I1214*0.7+M1214*-0.25+D1214*-0.25</f>
        <v>0.49154999999999999</v>
      </c>
      <c r="V1214">
        <f>J1214*0.5+I1214*-0.5</f>
        <v>-0.46199500000000004</v>
      </c>
      <c r="W1214">
        <f>M1214*0.5+G1214*0.25+I1214*0.25</f>
        <v>0.75149999999999995</v>
      </c>
    </row>
    <row r="1215" spans="1:23" x14ac:dyDescent="0.2">
      <c r="A1215">
        <v>4.53E-2</v>
      </c>
      <c r="B1215">
        <v>8</v>
      </c>
      <c r="C1215">
        <v>4</v>
      </c>
      <c r="D1215">
        <v>9.9900000000000003E-2</v>
      </c>
      <c r="E1215">
        <v>-11.52</v>
      </c>
      <c r="F1215">
        <v>198520</v>
      </c>
      <c r="G1215">
        <v>0.73099999999999998</v>
      </c>
      <c r="H1215">
        <v>199</v>
      </c>
      <c r="I1215">
        <v>0.71499999999999997</v>
      </c>
      <c r="J1215">
        <v>0.32500000000000001</v>
      </c>
      <c r="K1215" t="s">
        <v>3088</v>
      </c>
      <c r="L1215">
        <v>23</v>
      </c>
      <c r="M1215">
        <v>0.39100000000000001</v>
      </c>
      <c r="N1215">
        <v>107.934</v>
      </c>
      <c r="O1215" s="1">
        <v>2.61E-6</v>
      </c>
      <c r="P1215">
        <v>0</v>
      </c>
      <c r="Q1215">
        <v>10</v>
      </c>
      <c r="R1215" t="s">
        <v>3089</v>
      </c>
      <c r="S1215" t="s">
        <v>3090</v>
      </c>
      <c r="T1215">
        <f>I1215*-0.5+M1215*0.5</f>
        <v>-0.16199999999999998</v>
      </c>
      <c r="U1215">
        <f>I1215*0.7+M1215*-0.25+D1215*-0.25</f>
        <v>0.37777499999999992</v>
      </c>
      <c r="V1215">
        <f>J1215*0.5+I1215*-0.5</f>
        <v>-0.19499999999999998</v>
      </c>
      <c r="W1215">
        <f>M1215*0.5+G1215*0.25+I1215*0.25</f>
        <v>0.55699999999999994</v>
      </c>
    </row>
    <row r="1216" spans="1:23" x14ac:dyDescent="0.2">
      <c r="A1216">
        <v>0.26300000000000001</v>
      </c>
      <c r="B1216">
        <v>6</v>
      </c>
      <c r="C1216">
        <v>4</v>
      </c>
      <c r="D1216">
        <v>0.183</v>
      </c>
      <c r="E1216">
        <v>-3.7509999999999999</v>
      </c>
      <c r="F1216">
        <v>221627</v>
      </c>
      <c r="G1216">
        <v>0.51700000000000002</v>
      </c>
      <c r="H1216">
        <v>219</v>
      </c>
      <c r="I1216">
        <v>0.92400000000000004</v>
      </c>
      <c r="J1216">
        <v>0.38800000000000001</v>
      </c>
      <c r="K1216" t="s">
        <v>3077</v>
      </c>
      <c r="L1216">
        <v>6</v>
      </c>
      <c r="M1216">
        <v>0.59799999999999998</v>
      </c>
      <c r="N1216">
        <v>96.933000000000007</v>
      </c>
      <c r="O1216" s="1">
        <v>2.2199999999999999E-6</v>
      </c>
      <c r="P1216">
        <v>0</v>
      </c>
      <c r="Q1216">
        <v>6</v>
      </c>
      <c r="R1216" t="s">
        <v>726</v>
      </c>
      <c r="S1216" t="s">
        <v>3078</v>
      </c>
      <c r="T1216">
        <f>I1216*-0.5+M1216*0.5</f>
        <v>-0.16300000000000003</v>
      </c>
      <c r="U1216">
        <f>I1216*0.7+M1216*-0.25+D1216*-0.25</f>
        <v>0.45155000000000006</v>
      </c>
      <c r="V1216">
        <f>J1216*0.5+I1216*-0.5</f>
        <v>-0.26800000000000002</v>
      </c>
      <c r="W1216">
        <f>M1216*0.5+G1216*0.25+I1216*0.25</f>
        <v>0.65925</v>
      </c>
    </row>
    <row r="1217" spans="1:23" x14ac:dyDescent="0.2">
      <c r="A1217">
        <v>0.11600000000000001</v>
      </c>
      <c r="B1217">
        <v>8</v>
      </c>
      <c r="C1217">
        <v>4</v>
      </c>
      <c r="D1217">
        <v>6.7400000000000002E-2</v>
      </c>
      <c r="E1217">
        <v>-4.2779999999999996</v>
      </c>
      <c r="F1217">
        <v>229933</v>
      </c>
      <c r="G1217">
        <v>0.90900000000000003</v>
      </c>
      <c r="H1217">
        <v>223</v>
      </c>
      <c r="I1217">
        <v>0.873</v>
      </c>
      <c r="J1217">
        <v>0.24299999999999999</v>
      </c>
      <c r="K1217" t="s">
        <v>3043</v>
      </c>
      <c r="L1217">
        <v>7</v>
      </c>
      <c r="M1217">
        <v>0.53900000000000003</v>
      </c>
      <c r="N1217">
        <v>90.037999999999997</v>
      </c>
      <c r="O1217">
        <v>0</v>
      </c>
      <c r="P1217">
        <v>0</v>
      </c>
      <c r="Q1217">
        <v>11</v>
      </c>
      <c r="R1217" t="s">
        <v>3044</v>
      </c>
      <c r="S1217" t="s">
        <v>3045</v>
      </c>
      <c r="T1217">
        <f>I1217*-0.5+M1217*0.5</f>
        <v>-0.16699999999999998</v>
      </c>
      <c r="U1217">
        <f>I1217*0.7+M1217*-0.25+D1217*-0.25</f>
        <v>0.45949999999999996</v>
      </c>
      <c r="V1217">
        <f>J1217*0.5+I1217*-0.5</f>
        <v>-0.315</v>
      </c>
      <c r="W1217">
        <f>M1217*0.5+G1217*0.25+I1217*0.25</f>
        <v>0.71500000000000008</v>
      </c>
    </row>
    <row r="1218" spans="1:23" x14ac:dyDescent="0.2">
      <c r="A1218">
        <v>0.27400000000000002</v>
      </c>
      <c r="B1218">
        <v>1</v>
      </c>
      <c r="C1218">
        <v>4</v>
      </c>
      <c r="D1218">
        <v>8.7999999999999995E-2</v>
      </c>
      <c r="E1218">
        <v>-8.0449999999999999</v>
      </c>
      <c r="F1218">
        <v>217893</v>
      </c>
      <c r="G1218">
        <v>0.88600000000000001</v>
      </c>
      <c r="H1218">
        <v>218</v>
      </c>
      <c r="I1218">
        <v>0.82299999999999995</v>
      </c>
      <c r="J1218">
        <v>2.1600000000000001E-2</v>
      </c>
      <c r="K1218" t="s">
        <v>2943</v>
      </c>
      <c r="L1218">
        <v>29</v>
      </c>
      <c r="M1218">
        <v>0.47399999999999998</v>
      </c>
      <c r="N1218">
        <v>150.06800000000001</v>
      </c>
      <c r="O1218">
        <v>0</v>
      </c>
      <c r="P1218">
        <v>0</v>
      </c>
      <c r="Q1218">
        <v>10</v>
      </c>
      <c r="R1218" t="s">
        <v>2944</v>
      </c>
      <c r="S1218" t="s">
        <v>2945</v>
      </c>
      <c r="T1218">
        <f>I1218*-0.5+M1218*0.5</f>
        <v>-0.17449999999999999</v>
      </c>
      <c r="U1218">
        <f>I1218*0.7+M1218*-0.25+D1218*-0.25</f>
        <v>0.43559999999999993</v>
      </c>
      <c r="V1218">
        <f>J1218*0.5+I1218*-0.5</f>
        <v>-0.4007</v>
      </c>
      <c r="W1218">
        <f>M1218*0.5+G1218*0.25+I1218*0.25</f>
        <v>0.66425000000000001</v>
      </c>
    </row>
    <row r="1219" spans="1:23" x14ac:dyDescent="0.2">
      <c r="A1219">
        <v>6.3500000000000001E-2</v>
      </c>
      <c r="B1219">
        <v>11</v>
      </c>
      <c r="C1219">
        <v>4</v>
      </c>
      <c r="D1219">
        <v>0.11700000000000001</v>
      </c>
      <c r="E1219">
        <v>-6.3620000000000001</v>
      </c>
      <c r="F1219">
        <v>221267</v>
      </c>
      <c r="G1219">
        <v>0.878</v>
      </c>
      <c r="H1219">
        <v>220</v>
      </c>
      <c r="I1219">
        <v>0.81499999999999995</v>
      </c>
      <c r="J1219">
        <v>0.503</v>
      </c>
      <c r="K1219" t="s">
        <v>3121</v>
      </c>
      <c r="L1219">
        <v>31</v>
      </c>
      <c r="M1219">
        <v>0.44600000000000001</v>
      </c>
      <c r="N1219">
        <v>138.035</v>
      </c>
      <c r="O1219" s="1">
        <v>6.3199999999999996E-6</v>
      </c>
      <c r="P1219">
        <v>0</v>
      </c>
      <c r="Q1219">
        <v>7</v>
      </c>
      <c r="R1219" t="s">
        <v>3122</v>
      </c>
      <c r="S1219" t="s">
        <v>3123</v>
      </c>
      <c r="T1219">
        <f>I1219*-0.5+M1219*0.5</f>
        <v>-0.18449999999999997</v>
      </c>
      <c r="U1219">
        <f>I1219*0.7+M1219*-0.25+D1219*-0.25</f>
        <v>0.42974999999999991</v>
      </c>
      <c r="V1219">
        <f>J1219*0.5+I1219*-0.5</f>
        <v>-0.15599999999999997</v>
      </c>
      <c r="W1219">
        <f>M1219*0.5+G1219*0.25+I1219*0.25</f>
        <v>0.64624999999999999</v>
      </c>
    </row>
    <row r="1220" spans="1:23" x14ac:dyDescent="0.2">
      <c r="A1220">
        <v>3.1E-2</v>
      </c>
      <c r="B1220">
        <v>8</v>
      </c>
      <c r="C1220">
        <v>4</v>
      </c>
      <c r="D1220">
        <v>0.106</v>
      </c>
      <c r="E1220">
        <v>-13.797000000000001</v>
      </c>
      <c r="F1220">
        <v>200627</v>
      </c>
      <c r="G1220">
        <v>0.52600000000000002</v>
      </c>
      <c r="H1220">
        <v>199</v>
      </c>
      <c r="I1220">
        <v>0.67</v>
      </c>
      <c r="J1220">
        <v>0.94099999999999995</v>
      </c>
      <c r="K1220" t="s">
        <v>3153</v>
      </c>
      <c r="L1220">
        <v>15</v>
      </c>
      <c r="M1220">
        <v>0.29899999999999999</v>
      </c>
      <c r="N1220">
        <v>156.84800000000001</v>
      </c>
      <c r="O1220">
        <v>9.7000000000000003E-2</v>
      </c>
      <c r="P1220">
        <v>1</v>
      </c>
      <c r="Q1220">
        <v>13</v>
      </c>
      <c r="R1220" t="s">
        <v>3154</v>
      </c>
      <c r="S1220" t="s">
        <v>3155</v>
      </c>
      <c r="T1220">
        <f>I1220*-0.5+M1220*0.5</f>
        <v>-0.18550000000000003</v>
      </c>
      <c r="U1220">
        <f>I1220*0.7+M1220*-0.25+D1220*-0.25</f>
        <v>0.36774999999999997</v>
      </c>
      <c r="V1220">
        <f>J1220*0.5+I1220*-0.5</f>
        <v>0.13549999999999995</v>
      </c>
      <c r="W1220">
        <f>M1220*0.5+G1220*0.25+I1220*0.25</f>
        <v>0.44850000000000001</v>
      </c>
    </row>
    <row r="1221" spans="1:23" x14ac:dyDescent="0.2">
      <c r="A1221">
        <v>7.8600000000000003E-2</v>
      </c>
      <c r="B1221">
        <v>10</v>
      </c>
      <c r="C1221">
        <v>4</v>
      </c>
      <c r="D1221">
        <v>6.3299999999999995E-2</v>
      </c>
      <c r="E1221">
        <v>-9.9730000000000008</v>
      </c>
      <c r="F1221">
        <v>277413</v>
      </c>
      <c r="G1221">
        <v>0.80600000000000005</v>
      </c>
      <c r="H1221">
        <v>275</v>
      </c>
      <c r="I1221">
        <v>0.871</v>
      </c>
      <c r="J1221">
        <v>0.27800000000000002</v>
      </c>
      <c r="K1221" t="s">
        <v>3074</v>
      </c>
      <c r="L1221">
        <v>4</v>
      </c>
      <c r="M1221">
        <v>0.49399999999999999</v>
      </c>
      <c r="N1221">
        <v>99.003</v>
      </c>
      <c r="O1221" s="1">
        <v>4.6900000000000002E-5</v>
      </c>
      <c r="P1221">
        <v>0</v>
      </c>
      <c r="Q1221">
        <v>12</v>
      </c>
      <c r="R1221" t="s">
        <v>3075</v>
      </c>
      <c r="S1221" t="s">
        <v>3076</v>
      </c>
      <c r="T1221">
        <f>I1221*-0.5+M1221*0.5</f>
        <v>-0.1885</v>
      </c>
      <c r="U1221">
        <f>I1221*0.7+M1221*-0.25+D1221*-0.25</f>
        <v>0.47037499999999993</v>
      </c>
      <c r="V1221">
        <f>J1221*0.5+I1221*-0.5</f>
        <v>-0.29649999999999999</v>
      </c>
      <c r="W1221">
        <f>M1221*0.5+G1221*0.25+I1221*0.25</f>
        <v>0.66625000000000001</v>
      </c>
    </row>
    <row r="1222" spans="1:23" x14ac:dyDescent="0.2">
      <c r="A1222">
        <v>5.8599999999999999E-2</v>
      </c>
      <c r="B1222">
        <v>7</v>
      </c>
      <c r="C1222">
        <v>4</v>
      </c>
      <c r="D1222">
        <v>0.622</v>
      </c>
      <c r="E1222">
        <v>-6.5090000000000003</v>
      </c>
      <c r="F1222">
        <v>193733</v>
      </c>
      <c r="G1222">
        <v>0.879</v>
      </c>
      <c r="H1222">
        <v>203</v>
      </c>
      <c r="I1222">
        <v>0.94599999999999995</v>
      </c>
      <c r="J1222">
        <v>0.184</v>
      </c>
      <c r="K1222" t="s">
        <v>3026</v>
      </c>
      <c r="L1222">
        <v>35</v>
      </c>
      <c r="M1222">
        <v>0.56699999999999995</v>
      </c>
      <c r="N1222">
        <v>112.47199999999999</v>
      </c>
      <c r="O1222">
        <v>0</v>
      </c>
      <c r="P1222">
        <v>1</v>
      </c>
      <c r="Q1222">
        <v>16</v>
      </c>
      <c r="R1222" t="s">
        <v>3027</v>
      </c>
      <c r="S1222" t="s">
        <v>3028</v>
      </c>
      <c r="T1222">
        <f>I1222*-0.5+M1222*0.5</f>
        <v>-0.1895</v>
      </c>
      <c r="U1222">
        <f>I1222*0.7+M1222*-0.25+D1222*-0.25</f>
        <v>0.36494999999999989</v>
      </c>
      <c r="V1222">
        <f>J1222*0.5+I1222*-0.5</f>
        <v>-0.38100000000000001</v>
      </c>
      <c r="W1222">
        <f>M1222*0.5+G1222*0.25+I1222*0.25</f>
        <v>0.73974999999999991</v>
      </c>
    </row>
    <row r="1223" spans="1:23" x14ac:dyDescent="0.2">
      <c r="A1223">
        <v>7.8899999999999998E-2</v>
      </c>
      <c r="B1223">
        <v>7</v>
      </c>
      <c r="C1223">
        <v>4</v>
      </c>
      <c r="D1223">
        <v>5.1900000000000002E-2</v>
      </c>
      <c r="E1223">
        <v>-5.5620000000000003</v>
      </c>
      <c r="F1223">
        <v>242733</v>
      </c>
      <c r="G1223">
        <v>0.96699999999999997</v>
      </c>
      <c r="H1223">
        <v>241</v>
      </c>
      <c r="I1223">
        <v>0.96499999999999997</v>
      </c>
      <c r="J1223">
        <v>5.8400000000000001E-2</v>
      </c>
      <c r="K1223" t="s">
        <v>2956</v>
      </c>
      <c r="L1223">
        <v>23</v>
      </c>
      <c r="M1223">
        <v>0.58299999999999996</v>
      </c>
      <c r="N1223">
        <v>117</v>
      </c>
      <c r="O1223">
        <v>0</v>
      </c>
      <c r="P1223">
        <v>0</v>
      </c>
      <c r="Q1223">
        <v>4</v>
      </c>
      <c r="R1223" t="s">
        <v>2957</v>
      </c>
      <c r="S1223" t="s">
        <v>2958</v>
      </c>
      <c r="T1223">
        <f>I1223*-0.5+M1223*0.5</f>
        <v>-0.191</v>
      </c>
      <c r="U1223">
        <f>I1223*0.7+M1223*-0.25+D1223*-0.25</f>
        <v>0.51677499999999998</v>
      </c>
      <c r="V1223">
        <f>J1223*0.5+I1223*-0.5</f>
        <v>-0.45329999999999998</v>
      </c>
      <c r="W1223">
        <f>M1223*0.5+G1223*0.25+I1223*0.25</f>
        <v>0.77449999999999997</v>
      </c>
    </row>
    <row r="1224" spans="1:23" x14ac:dyDescent="0.2">
      <c r="A1224">
        <v>4.36E-2</v>
      </c>
      <c r="B1224">
        <v>8</v>
      </c>
      <c r="C1224">
        <v>4</v>
      </c>
      <c r="D1224">
        <v>8.6099999999999996E-2</v>
      </c>
      <c r="E1224">
        <v>-3.7949999999999999</v>
      </c>
      <c r="F1224">
        <v>265867</v>
      </c>
      <c r="G1224">
        <v>0.92500000000000004</v>
      </c>
      <c r="H1224">
        <v>239</v>
      </c>
      <c r="I1224">
        <v>0.96699999999999997</v>
      </c>
      <c r="J1224">
        <v>0.13800000000000001</v>
      </c>
      <c r="K1224" t="s">
        <v>3014</v>
      </c>
      <c r="L1224">
        <v>9</v>
      </c>
      <c r="M1224">
        <v>0.56000000000000005</v>
      </c>
      <c r="N1224">
        <v>92.894999999999996</v>
      </c>
      <c r="O1224" s="1">
        <v>1.19E-5</v>
      </c>
      <c r="P1224">
        <v>0</v>
      </c>
      <c r="Q1224">
        <v>3</v>
      </c>
      <c r="R1224" t="s">
        <v>1488</v>
      </c>
      <c r="S1224" t="s">
        <v>3015</v>
      </c>
      <c r="T1224">
        <f>I1224*-0.5+M1224*0.5</f>
        <v>-0.20349999999999996</v>
      </c>
      <c r="U1224">
        <f>I1224*0.7+M1224*-0.25+D1224*-0.25</f>
        <v>0.51537499999999992</v>
      </c>
      <c r="V1224">
        <f>J1224*0.5+I1224*-0.5</f>
        <v>-0.41449999999999998</v>
      </c>
      <c r="W1224">
        <f>M1224*0.5+G1224*0.25+I1224*0.25</f>
        <v>0.753</v>
      </c>
    </row>
    <row r="1225" spans="1:23" x14ac:dyDescent="0.2">
      <c r="A1225">
        <v>3.4000000000000002E-2</v>
      </c>
      <c r="B1225">
        <v>9</v>
      </c>
      <c r="C1225">
        <v>4</v>
      </c>
      <c r="D1225">
        <v>8.8999999999999996E-2</v>
      </c>
      <c r="E1225">
        <v>-7.6040000000000001</v>
      </c>
      <c r="F1225">
        <v>231480</v>
      </c>
      <c r="G1225">
        <v>0.76800000000000002</v>
      </c>
      <c r="H1225">
        <v>229</v>
      </c>
      <c r="I1225">
        <v>0.96599999999999997</v>
      </c>
      <c r="J1225">
        <v>2.69E-2</v>
      </c>
      <c r="K1225" t="s">
        <v>2976</v>
      </c>
      <c r="L1225">
        <v>10</v>
      </c>
      <c r="M1225">
        <v>0.55000000000000004</v>
      </c>
      <c r="N1225">
        <v>126.01300000000001</v>
      </c>
      <c r="O1225">
        <v>0.57799999999999996</v>
      </c>
      <c r="P1225">
        <v>0</v>
      </c>
      <c r="Q1225">
        <v>2</v>
      </c>
      <c r="R1225" t="s">
        <v>1013</v>
      </c>
      <c r="S1225" t="s">
        <v>2977</v>
      </c>
      <c r="T1225">
        <f>I1225*-0.5+M1225*0.5</f>
        <v>-0.20799999999999996</v>
      </c>
      <c r="U1225">
        <f>I1225*0.7+M1225*-0.25+D1225*-0.25</f>
        <v>0.51644999999999996</v>
      </c>
      <c r="V1225">
        <f>J1225*0.5+I1225*-0.5</f>
        <v>-0.46954999999999997</v>
      </c>
      <c r="W1225">
        <f>M1225*0.5+G1225*0.25+I1225*0.25</f>
        <v>0.70850000000000002</v>
      </c>
    </row>
    <row r="1226" spans="1:23" x14ac:dyDescent="0.2">
      <c r="A1226">
        <v>0.114</v>
      </c>
      <c r="B1226">
        <v>9</v>
      </c>
      <c r="C1226">
        <v>4</v>
      </c>
      <c r="D1226">
        <v>9.5699999999999993E-2</v>
      </c>
      <c r="E1226">
        <v>-5.4329999999999998</v>
      </c>
      <c r="F1226">
        <v>219920</v>
      </c>
      <c r="G1226">
        <v>0.9</v>
      </c>
      <c r="H1226">
        <v>220</v>
      </c>
      <c r="I1226">
        <v>0.78700000000000003</v>
      </c>
      <c r="J1226">
        <v>4.4299999999999999E-2</v>
      </c>
      <c r="K1226" t="s">
        <v>3023</v>
      </c>
      <c r="L1226">
        <v>19</v>
      </c>
      <c r="M1226">
        <v>0.371</v>
      </c>
      <c r="N1226">
        <v>100.015</v>
      </c>
      <c r="O1226">
        <v>0</v>
      </c>
      <c r="P1226">
        <v>0</v>
      </c>
      <c r="Q1226">
        <v>10</v>
      </c>
      <c r="R1226" t="s">
        <v>3024</v>
      </c>
      <c r="S1226" t="s">
        <v>3025</v>
      </c>
      <c r="T1226">
        <f>I1226*-0.5+M1226*0.5</f>
        <v>-0.20800000000000002</v>
      </c>
      <c r="U1226">
        <f>I1226*0.7+M1226*-0.25+D1226*-0.25</f>
        <v>0.43422499999999997</v>
      </c>
      <c r="V1226">
        <f>J1226*0.5+I1226*-0.5</f>
        <v>-0.37135000000000001</v>
      </c>
      <c r="W1226">
        <f>M1226*0.5+G1226*0.25+I1226*0.25</f>
        <v>0.60724999999999996</v>
      </c>
    </row>
    <row r="1227" spans="1:23" x14ac:dyDescent="0.2">
      <c r="A1227">
        <v>9.4500000000000001E-2</v>
      </c>
      <c r="B1227">
        <v>0</v>
      </c>
      <c r="C1227">
        <v>4</v>
      </c>
      <c r="D1227">
        <v>0.13100000000000001</v>
      </c>
      <c r="E1227">
        <v>-9.8670000000000009</v>
      </c>
      <c r="F1227">
        <v>225173</v>
      </c>
      <c r="G1227">
        <v>0.81399999999999995</v>
      </c>
      <c r="H1227">
        <v>220</v>
      </c>
      <c r="I1227">
        <v>0.80800000000000005</v>
      </c>
      <c r="J1227">
        <v>2.4799999999999999E-2</v>
      </c>
      <c r="K1227" t="s">
        <v>3009</v>
      </c>
      <c r="L1227">
        <v>17</v>
      </c>
      <c r="M1227">
        <v>0.38700000000000001</v>
      </c>
      <c r="N1227">
        <v>93.960999999999999</v>
      </c>
      <c r="O1227">
        <v>0</v>
      </c>
      <c r="P1227">
        <v>1</v>
      </c>
      <c r="Q1227">
        <v>7</v>
      </c>
      <c r="R1227" t="s">
        <v>3010</v>
      </c>
      <c r="S1227" t="s">
        <v>3011</v>
      </c>
      <c r="T1227">
        <f>I1227*-0.5+M1227*0.5</f>
        <v>-0.21050000000000002</v>
      </c>
      <c r="U1227">
        <f>I1227*0.7+M1227*-0.25+D1227*-0.25</f>
        <v>0.43609999999999999</v>
      </c>
      <c r="V1227">
        <f>J1227*0.5+I1227*-0.5</f>
        <v>-0.3916</v>
      </c>
      <c r="W1227">
        <f>M1227*0.5+G1227*0.25+I1227*0.25</f>
        <v>0.59899999999999998</v>
      </c>
    </row>
    <row r="1228" spans="1:23" x14ac:dyDescent="0.2">
      <c r="A1228">
        <v>3.1899999999999998E-2</v>
      </c>
      <c r="B1228">
        <v>1</v>
      </c>
      <c r="C1228">
        <v>4</v>
      </c>
      <c r="D1228">
        <v>8.2799999999999999E-2</v>
      </c>
      <c r="E1228">
        <v>-7.6779999999999999</v>
      </c>
      <c r="F1228">
        <v>167707</v>
      </c>
      <c r="G1228">
        <v>0.74299999999999999</v>
      </c>
      <c r="H1228">
        <v>165</v>
      </c>
      <c r="I1228">
        <v>0.94</v>
      </c>
      <c r="J1228">
        <v>4.07E-2</v>
      </c>
      <c r="K1228" t="s">
        <v>2994</v>
      </c>
      <c r="L1228">
        <v>34</v>
      </c>
      <c r="M1228">
        <v>0.51600000000000001</v>
      </c>
      <c r="N1228">
        <v>118.11</v>
      </c>
      <c r="O1228">
        <v>0</v>
      </c>
      <c r="P1228">
        <v>1</v>
      </c>
      <c r="Q1228">
        <v>17</v>
      </c>
      <c r="R1228" t="s">
        <v>2995</v>
      </c>
      <c r="S1228" t="s">
        <v>2996</v>
      </c>
      <c r="T1228">
        <f>I1228*-0.5+M1228*0.5</f>
        <v>-0.21199999999999997</v>
      </c>
      <c r="U1228">
        <f>I1228*0.7+M1228*-0.25+D1228*-0.25</f>
        <v>0.50829999999999986</v>
      </c>
      <c r="V1228">
        <f>J1228*0.5+I1228*-0.5</f>
        <v>-0.44964999999999999</v>
      </c>
      <c r="W1228">
        <f>M1228*0.5+G1228*0.25+I1228*0.25</f>
        <v>0.67874999999999996</v>
      </c>
    </row>
    <row r="1229" spans="1:23" x14ac:dyDescent="0.2">
      <c r="A1229">
        <v>2.8000000000000001E-2</v>
      </c>
      <c r="B1229">
        <v>5</v>
      </c>
      <c r="C1229">
        <v>4</v>
      </c>
      <c r="D1229">
        <v>6.59E-2</v>
      </c>
      <c r="E1229">
        <v>-11.775</v>
      </c>
      <c r="F1229">
        <v>186147</v>
      </c>
      <c r="G1229">
        <v>0.73199999999999998</v>
      </c>
      <c r="H1229">
        <v>183</v>
      </c>
      <c r="I1229">
        <v>0.63600000000000001</v>
      </c>
      <c r="J1229">
        <v>0.88300000000000001</v>
      </c>
      <c r="K1229" t="s">
        <v>3156</v>
      </c>
      <c r="L1229">
        <v>11</v>
      </c>
      <c r="M1229">
        <v>0.19800000000000001</v>
      </c>
      <c r="N1229">
        <v>88.174000000000007</v>
      </c>
      <c r="O1229" s="1">
        <v>1.1E-5</v>
      </c>
      <c r="P1229">
        <v>1</v>
      </c>
      <c r="Q1229">
        <v>14</v>
      </c>
      <c r="R1229" t="s">
        <v>3154</v>
      </c>
      <c r="S1229" t="s">
        <v>3157</v>
      </c>
      <c r="T1229">
        <f>I1229*-0.5+M1229*0.5</f>
        <v>-0.219</v>
      </c>
      <c r="U1229">
        <f>I1229*0.7+M1229*-0.25+D1229*-0.25</f>
        <v>0.37922499999999998</v>
      </c>
      <c r="V1229">
        <f>J1229*0.5+I1229*-0.5</f>
        <v>0.1235</v>
      </c>
      <c r="W1229">
        <f>M1229*0.5+G1229*0.25+I1229*0.25</f>
        <v>0.44100000000000006</v>
      </c>
    </row>
    <row r="1230" spans="1:23" x14ac:dyDescent="0.2">
      <c r="A1230">
        <v>0.36099999999999999</v>
      </c>
      <c r="B1230">
        <v>7</v>
      </c>
      <c r="C1230">
        <v>4</v>
      </c>
      <c r="D1230">
        <v>8.3299999999999999E-2</v>
      </c>
      <c r="E1230">
        <v>-6.7990000000000004</v>
      </c>
      <c r="F1230">
        <v>325573</v>
      </c>
      <c r="G1230">
        <v>0.878</v>
      </c>
      <c r="H1230">
        <v>243</v>
      </c>
      <c r="I1230">
        <v>0.88700000000000001</v>
      </c>
      <c r="J1230">
        <v>4.4400000000000002E-2</v>
      </c>
      <c r="K1230" t="s">
        <v>3046</v>
      </c>
      <c r="L1230">
        <v>18</v>
      </c>
      <c r="M1230">
        <v>0.41699999999999998</v>
      </c>
      <c r="N1230">
        <v>77.489999999999995</v>
      </c>
      <c r="O1230">
        <v>0</v>
      </c>
      <c r="P1230">
        <v>1</v>
      </c>
      <c r="Q1230">
        <v>5</v>
      </c>
      <c r="R1230" t="s">
        <v>3047</v>
      </c>
      <c r="S1230" t="s">
        <v>3048</v>
      </c>
      <c r="T1230">
        <f>I1230*-0.5+M1230*0.5</f>
        <v>-0.23500000000000001</v>
      </c>
      <c r="U1230">
        <f>I1230*0.7+M1230*-0.25+D1230*-0.25</f>
        <v>0.49582500000000007</v>
      </c>
      <c r="V1230">
        <f>J1230*0.5+I1230*-0.5</f>
        <v>-0.42130000000000001</v>
      </c>
      <c r="W1230">
        <f>M1230*0.5+G1230*0.25+I1230*0.25</f>
        <v>0.64975000000000005</v>
      </c>
    </row>
  </sheetData>
  <autoFilter ref="A1:W1230">
    <filterColumn colId="13">
      <customFilters>
        <customFilter operator="notEqual" val=" "/>
      </customFilters>
    </filterColumn>
    <sortState ref="A34:W1230">
      <sortCondition descending="1" ref="T1:T123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emotions_spotifyv1.csv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2018-06-20T03:05:49Z</dcterms:created>
  <dcterms:modified xsi:type="dcterms:W3CDTF">2018-06-20T03:17:28Z</dcterms:modified>
</cp:coreProperties>
</file>